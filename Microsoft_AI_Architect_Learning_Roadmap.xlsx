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258fb64bb94f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31cd4ce1f68e4992"/>
    <x:sheet xmlns:r="http://schemas.openxmlformats.org/officeDocument/2006/relationships" name="Weekly Plan" sheetId="2" r:id="R57b1e7493d374fd7"/>
    <x:sheet xmlns:r="http://schemas.openxmlformats.org/officeDocument/2006/relationships" name="Learn Modules" sheetId="3" r:id="Rab3959fd6d3546f1"/>
    <x:sheet xmlns:r="http://schemas.openxmlformats.org/officeDocument/2006/relationships" name="GitHub Labs" sheetId="4" r:id="Re5c1a4838363400c"/>
    <x:sheet xmlns:r="http://schemas.openxmlformats.org/officeDocument/2006/relationships" name="Architecture" sheetId="5" r:id="R42b492d59ee74dc3"/>
    <x:sheet xmlns:r="http://schemas.openxmlformats.org/officeDocument/2006/relationships" name="Demo Portfolio" sheetId="6" r:id="R7b7bf1e790544173"/>
    <x:sheet xmlns:r="http://schemas.openxmlformats.org/officeDocument/2006/relationships" name="Offer Cards" sheetId="7" r:id="Rc0d58db6a3e7470f"/>
    <x:sheet xmlns:r="http://schemas.openxmlformats.org/officeDocument/2006/relationships" name="Qualification" sheetId="8" r:id="R802b426f0499419b"/>
    <x:sheet xmlns:r="http://schemas.openxmlformats.org/officeDocument/2006/relationships" name="Assets and Evidence" sheetId="9" r:id="Red5c9d9678e040f8"/>
    <x:sheet xmlns:r="http://schemas.openxmlformats.org/officeDocument/2006/relationships" name="Delivery Dependencies" sheetId="10" r:id="R74f17630619c4124"/>
    <x:sheet xmlns:r="http://schemas.openxmlformats.org/officeDocument/2006/relationships" name="Commercial Model" sheetId="11" r:id="R039ee52a721f4b7c"/>
    <x:sheet xmlns:r="http://schemas.openxmlformats.org/officeDocument/2006/relationships" name="Launch Gates" sheetId="12" r:id="Rfc6845a291c94105"/>
    <x:sheet xmlns:r="http://schemas.openxmlformats.org/officeDocument/2006/relationships" name="Deal Practice" sheetId="13" r:id="Rab2c4eb04c954d18"/>
    <x:sheet xmlns:r="http://schemas.openxmlformats.org/officeDocument/2006/relationships" name="Market Plan" sheetId="14" r:id="Rc22c66917d7343c1"/>
    <x:sheet xmlns:r="http://schemas.openxmlformats.org/officeDocument/2006/relationships" name="Video Learning" sheetId="15" r:id="R9a75012b50834e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 mmm yyyy"/>
    <x:numFmt numFmtId="201" formatCode="0%"/>
    <x:numFmt numFmtId="202" formatCode="#,##0.00"/>
    <x:numFmt numFmtId="203" formatCode="#,##0"/>
    <x:numFmt numFmtId="204" formatCode="&quot;USD &quot;#,##0.00"/>
  </x:numFmts>
  <x:fonts count="9">
    <x:font>
      <x:sz val="11"/>
      <x:name val="Carlito"/>
    </x:font>
    <x:font>
      <x:sz val="10"/>
      <x:color rgb="FF172B4D"/>
      <x:name val="Arial"/>
    </x:font>
    <x:font>
      <x:b/>
      <x:sz val="15"/>
      <x:color rgb="FF172B4D"/>
      <x:name val="Arial"/>
    </x:font>
    <x:font>
      <x:b/>
      <x:sz val="10"/>
      <x:color rgb="FFFFFFFF"/>
      <x:name val="Arial"/>
    </x:font>
    <x:font>
      <x:sz val="11"/>
      <x:color rgb="FF172B4D"/>
      <x:name val="Arial"/>
    </x:font>
    <x:font>
      <x:b/>
      <x:sz val="16"/>
      <x:color rgb="FF172B4D"/>
      <x:name val="Arial"/>
    </x:font>
    <x:font>
      <x:sz val="11"/>
      <x:name val="Arial"/>
    </x:font>
    <x:font>
      <x:sz val="10"/>
      <x:color rgb="FF0563C1"/>
      <x:name val="Arial"/>
    </x:font>
    <x:font>
      <x:b/>
      <x:sz val="11"/>
      <x:color rgb="FFFFFFFF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E7EEF7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E7EEF7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E7EEF7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200" fontId="4" fillId="0" borderId="0" xfId="0" applyNumberFormat="1" applyFont="1" applyFill="1" applyBorder="1"/>
    <x:xf numFmtId="200" fontId="4" fillId="3" borderId="0" xfId="0" applyNumberFormat="1" applyFont="1" applyFill="1" applyBorder="1"/>
    <x:xf numFmtId="0" fontId="4" fillId="3" borderId="0" xfId="0" applyNumberFormat="1" applyFont="1" applyFill="1" applyBorder="1"/>
    <x:xf numFmtId="201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/>
    <x:xf numFmtId="201" fontId="1" fillId="6" borderId="0" xfId="0" applyNumberFormat="1" applyFont="1" applyFill="1" applyBorder="1"/>
    <x:xf numFmtId="201" fontId="1" fillId="0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201" fontId="1" fillId="6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201" fontId="1" fillId="6" borderId="0" xfId="0" applyNumberFormat="1" applyFont="1" applyFill="1" applyBorder="1" applyAlignment="1">
      <x:alignment vertical="center" wrapText="1"/>
    </x:xf>
    <x:xf numFmtId="202" fontId="1" fillId="6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3" fontId="1" fillId="6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/>
    <x:xf numFmtId="200" fontId="4" fillId="6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horizont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201" fontId="0" fillId="11" borderId="0" xfId="0" applyNumberFormat="1" applyFont="1" applyFill="1" applyBorder="1"/>
    <x:xf numFmtId="0" fontId="0" fillId="11" borderId="0" xfId="0" applyNumberFormat="1" applyFont="1" applyFill="1" applyBorder="1" applyAlignment="1">
      <x:alignment wrapText="1"/>
    </x:xf>
    <x:xf numFmtId="201" fontId="0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 applyAlignment="1">
      <x:alignment wrapText="1"/>
    </x:xf>
    <x:xf numFmtId="0" fontId="8" fillId="12" borderId="0" xfId="0" applyNumberFormat="1" applyFont="1" applyFill="1" applyBorder="1" applyAlignment="1">
      <x:alignment wrapText="1"/>
    </x:xf>
    <x:xf numFmtId="202" fontId="1" fillId="10" borderId="0" xfId="0" applyNumberFormat="1" applyFont="1" applyFill="1" applyBorder="1" applyAlignment="1">
      <x:alignment vertical="center" wrapText="1"/>
    </x:xf>
    <x:xf numFmtId="204" fontId="1" fillId="10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 wrapText="1"/>
    </x:xf>
    <x:xf numFmtId="204" fontId="1" fillId="3" borderId="0" xfId="0" applyNumberFormat="1" applyFont="1" applyFill="1" applyBorder="1" applyAlignment="1">
      <x:alignment vertical="center" wrapText="1"/>
    </x:xf>
    <x:xf numFmtId="204" fontId="0" fillId="11" borderId="0" xfId="0" applyNumberFormat="1" applyFont="1" applyFill="1" applyBorder="1" applyAlignment="1">
      <x:alignment wrapText="1"/>
    </x:xf>
    <x:xf numFmtId="0" fontId="1" fillId="12" borderId="0" xfId="0" applyNumberFormat="1" applyFont="1" applyFill="1" applyBorder="1" applyAlignment="1">
      <x:alignment wrapText="1"/>
    </x:xf>
    <x:xf numFmtId="0" fontId="3" fillId="12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13" borderId="0" xfId="0" applyNumberFormat="1" applyFont="1" applyFill="1" applyBorder="1" applyAlignment="1">
      <x:alignment vertical="center" wrapText="1"/>
    </x:xf>
    <x:xf numFmtId="0" fontId="3" fillId="13" borderId="0" xfId="0" applyNumberFormat="1" applyFont="1" applyFill="1" applyBorder="1" applyAlignment="1">
      <x:alignment vertical="center" wrapText="1"/>
    </x:xf>
    <x:xf numFmtId="0" fontId="1" fillId="14" borderId="0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 applyAlignment="1">
      <x:alignment vertical="center" wrapText="1"/>
    </x:xf>
    <x:xf numFmtId="0" fontId="8" fillId="1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9100c9ad8246ec" /><Relationship Type="http://schemas.openxmlformats.org/officeDocument/2006/relationships/theme" Target="/xl/theme/theme1.xml" Id="R37cc76eec2694b4f" /><Relationship Type="http://schemas.openxmlformats.org/officeDocument/2006/relationships/sharedStrings" Target="/xl/sharedStrings.xml" Id="R10384b1def844f9d" /><Relationship Type="http://schemas.openxmlformats.org/officeDocument/2006/relationships/worksheet" Target="/xl/worksheets/sheet1.xml" Id="R31cd4ce1f68e4992" /><Relationship Type="http://schemas.openxmlformats.org/officeDocument/2006/relationships/worksheet" Target="/xl/worksheets/sheet2.xml" Id="R57b1e7493d374fd7" /><Relationship Type="http://schemas.openxmlformats.org/officeDocument/2006/relationships/worksheet" Target="/xl/worksheets/sheet3.xml" Id="Rab3959fd6d3546f1" /><Relationship Type="http://schemas.openxmlformats.org/officeDocument/2006/relationships/worksheet" Target="/xl/worksheets/sheet4.xml" Id="Re5c1a4838363400c" /><Relationship Type="http://schemas.openxmlformats.org/officeDocument/2006/relationships/worksheet" Target="/xl/worksheets/sheet5.xml" Id="R42b492d59ee74dc3" /><Relationship Type="http://schemas.openxmlformats.org/officeDocument/2006/relationships/worksheet" Target="/xl/worksheets/sheet6.xml" Id="R7b7bf1e790544173" /><Relationship Type="http://schemas.openxmlformats.org/officeDocument/2006/relationships/worksheet" Target="/xl/worksheets/sheet7.xml" Id="Rc0d58db6a3e7470f" /><Relationship Type="http://schemas.openxmlformats.org/officeDocument/2006/relationships/worksheet" Target="/xl/worksheets/sheet8.xml" Id="R802b426f0499419b" /><Relationship Type="http://schemas.openxmlformats.org/officeDocument/2006/relationships/worksheet" Target="/xl/worksheets/sheet9.xml" Id="Red5c9d9678e040f8" /><Relationship Type="http://schemas.openxmlformats.org/officeDocument/2006/relationships/worksheet" Target="/xl/worksheets/sheet10.xml" Id="R74f17630619c4124" /><Relationship Type="http://schemas.openxmlformats.org/officeDocument/2006/relationships/worksheet" Target="/xl/worksheets/sheet11.xml" Id="R039ee52a721f4b7c" /><Relationship Type="http://schemas.openxmlformats.org/officeDocument/2006/relationships/worksheet" Target="/xl/worksheets/sheet12.xml" Id="Rfc6845a291c94105" /><Relationship Type="http://schemas.openxmlformats.org/officeDocument/2006/relationships/worksheet" Target="/xl/worksheets/sheet13.xml" Id="Rab2c4eb04c954d18" /><Relationship Type="http://schemas.openxmlformats.org/officeDocument/2006/relationships/worksheet" Target="/xl/worksheets/sheet14.xml" Id="Rc22c66917d7343c1" /><Relationship Type="http://schemas.openxmlformats.org/officeDocument/2006/relationships/worksheet" Target="/xl/worksheets/sheet15.xml" Id="R9a75012b50834eb4" /></Relationships>
</file>

<file path=xl/tables/table1.xml><?xml version="1.0" encoding="utf-8"?>
<x:table xmlns:x="http://schemas.openxmlformats.org/spreadsheetml/2006/main" id="22" name="WeeklyPlanV4" displayName="WeeklyPlanV4" ref="A5:T15" headerRowCount="1" totalsRowCount="0" totalsRowShown="0">
  <x:tableColumns count="20">
    <x:tableColumn id="1" name="Week"/>
    <x:tableColumn id="2" name="Start date"/>
    <x:tableColumn id="3" name="End date"/>
    <x:tableColumn id="4" name="Focus"/>
    <x:tableColumn id="5" name="Resources"/>
    <x:tableColumn id="6" name="Architecture focus"/>
    <x:tableColumn id="7" name="Deliverable"/>
    <x:tableColumn id="8" name="Client-meeting capability"/>
    <x:tableColumn id="9" name="Senior Manager action"/>
    <x:tableColumn id="10" name="Study hours"/>
    <x:tableColumn id="11" name="Lab hours"/>
    <x:tableColumn id="12" name="Output hours"/>
    <x:tableColumn id="13" name="Total hours"/>
    <x:tableColumn id="14" name="Completed tasks"/>
    <x:tableColumn id="15" name="Total tasks"/>
    <x:tableColumn id="16" name="Completion"/>
    <x:tableColumn id="17" name="GTM output alongside learning"/>
    <x:tableColumn id="18" name="Video options (choose segments)"/>
    <x:tableColumn id="19" name="Video hours budget"/>
    <x:tableColumn id="20" name="Total incl. video hour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3" name="LearnModulesTableV2" displayName="LearnModulesTableV2" ref="A5:N30" headerRowCount="1" totalsRowCount="0" totalsRowShown="0">
  <x:tableColumns count="14">
    <x:tableColumn id="1" name="ID"/>
    <x:tableColumn id="2" name="Week"/>
    <x:tableColumn id="3" name="Track"/>
    <x:tableColumn id="4" name="Official module"/>
    <x:tableColumn id="5" name="Study hours*"/>
    <x:tableColumn id="6" name="Learning outcome"/>
    <x:tableColumn id="7" name="Status"/>
    <x:tableColumn id="8" name="Actual hours"/>
    <x:tableColumn id="9" name="Evidence / notes"/>
    <x:tableColumn id="10" name="Official URL"/>
    <x:tableColumn id="11" name="Verification"/>
    <x:tableColumn id="12" name="Offer supported"/>
    <x:tableColumn id="13" name="Asset / decision produced"/>
    <x:tableColumn id="14" name="Ownership releva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4" name="GitHubLabsTableV2" displayName="GitHubLabsTableV2" ref="A5:P20" headerRowCount="1" totalsRowCount="0" totalsRowShown="0">
  <x:tableColumns count="16">
    <x:tableColumn id="1" name="ID"/>
    <x:tableColumn id="2" name="Week"/>
    <x:tableColumn id="3" name="Lab"/>
    <x:tableColumn id="4" name="Repository URL"/>
    <x:tableColumn id="5" name="Your task"/>
    <x:tableColumn id="6" name="Lab hours*"/>
    <x:tableColumn id="7" name="Prerequisites"/>
    <x:tableColumn id="8" name="Acceptance evidence"/>
    <x:tableColumn id="9" name="Status"/>
    <x:tableColumn id="10" name="Actual hours"/>
    <x:tableColumn id="11" name="Evidence link"/>
    <x:tableColumn id="12" name="Source note"/>
    <x:tableColumn id="13" name="Reuse candidate"/>
    <x:tableColumn id="14" name="Production gaps to close"/>
    <x:tableColumn id="15" name="Maintenance owner"/>
    <x:tableColumn id="16" name="Validated evid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7" name="ArchitectureV2" displayName="ArchitectureV2" ref="A5:I17" headerRowCount="1" totalsRowCount="0" totalsRowShown="0">
  <x:tableColumns count="9">
    <x:tableColumn id="1" name="Topic"/>
    <x:tableColumn id="2" name="What to decide / test"/>
    <x:tableColumn id="3" name="Proposed ownership*"/>
    <x:tableColumn id="4" name="Required evidence"/>
    <x:tableColumn id="5" name="Resource URL"/>
    <x:tableColumn id="6" name="Offer / pattern"/>
    <x:tableColumn id="7" name="Quantities and SKU/region evidence"/>
    <x:tableColumn id="8" name="Customer prerequisite"/>
    <x:tableColumn id="9" name="Approval / evidence owne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6" name="DemoPortfolioV2" displayName="DemoPortfolioV2" ref="A5:K9" headerRowCount="1" totalsRowCount="0" totalsRowShown="0">
  <x:tableColumns count="11">
    <x:tableColumn id="1" name="ID"/>
    <x:tableColumn id="2" name="Demo"/>
    <x:tableColumn id="3" name="Target week"/>
    <x:tableColumn id="4" name="Business outcome"/>
    <x:tableColumn id="5" name="Reference architecture"/>
    <x:tableColumn id="6" name="Tower dependencies*"/>
    <x:tableColumn id="7" name="Acceptance criteria"/>
    <x:tableColumn id="8" name="Cost drivers"/>
    <x:tableColumn id="9" name="Presales evidence"/>
    <x:tableColumn id="10" name="Status"/>
    <x:tableColumn id="11" name="Evidence link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OfferCardsTable" displayName="OfferCardsTable" ref="A5:R8" headerRowCount="1" totalsRowCount="0" totalsRowShown="0">
  <x:tableColumns count="18">
    <x:tableColumn id="1" name="ID"/>
    <x:tableColumn id="2" name="Offer"/>
    <x:tableColumn id="3" name="Position"/>
    <x:tableColumn id="4" name="Buyer"/>
    <x:tableColumn id="5" name="Buying trigger"/>
    <x:tableColumn id="6" name="Outcome"/>
    <x:tableColumn id="7" name="Reference scope"/>
    <x:tableColumn id="8" name="Deliverables"/>
    <x:tableColumn id="9" name="Acceptance"/>
    <x:tableColumn id="10" name="Infra ownership"/>
    <x:tableColumn id="11" name="Tower work packages"/>
    <x:tableColumn id="12" name="Prerequisites"/>
    <x:tableColumn id="13" name="Exclusions / options"/>
    <x:tableColumn id="14" name="Commercial basis"/>
    <x:tableColumn id="15" name="Expansion route"/>
    <x:tableColumn id="16" name="Evidence status"/>
    <x:tableColumn id="17" name="Accountable owner"/>
    <x:tableColumn id="18" name="Sourc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QualificationTable" displayName="QualificationTable" ref="A5:I17" headerRowCount="1" totalsRowCount="0" totalsRowShown="0">
  <x:tableColumns count="9">
    <x:tableColumn id="1" name="ID"/>
    <x:tableColumn id="2" name="Area"/>
    <x:tableColumn id="3" name="Question"/>
    <x:tableColumn id="4" name="Evidence required"/>
    <x:tableColumn id="5" name="Owner to engage"/>
    <x:tableColumn id="6" name="Decision implication"/>
    <x:tableColumn id="7" name="Customer response"/>
    <x:tableColumn id="8" name="Evidence link"/>
    <x:tableColumn id="9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andidatesTable" displayName="CandidatesTable" ref="A21:I24" headerRowCount="1" totalsRowCount="0" totalsRowShown="0">
  <x:tableColumns count="9">
    <x:tableColumn id="1" name="Candidate ID"/>
    <x:tableColumn id="2" name="Account"/>
    <x:tableColumn id="3" name="Workload / platform blocker"/>
    <x:tableColumn id="4" name="Sponsor / source owner"/>
    <x:tableColumn id="5" name="Funding / next decision"/>
    <x:tableColumn id="6" name="Critical gaps"/>
    <x:tableColumn id="7" name="Recommendation"/>
    <x:tableColumn id="8" name="Next action / owner"/>
    <x:tableColumn id="9" name="Evidence 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AssetsandEvidenceTable" displayName="AssetsandEvidenceTable" ref="A5:K15" headerRowCount="1" totalsRowCount="0" totalsRowShown="0">
  <x:tableColumns count="11">
    <x:tableColumn id="1" name="ID"/>
    <x:tableColumn id="2" name="Offer"/>
    <x:tableColumn id="3" name="Asset"/>
    <x:tableColumn id="4" name="Required content"/>
    <x:tableColumn id="5" name="Proposed owner"/>
    <x:tableColumn id="6" name="Candidate location"/>
    <x:tableColumn id="7" name="Acceptance evidence"/>
    <x:tableColumn id="8" name="Evidence status"/>
    <x:tableColumn id="9" name="Approved location / commit"/>
    <x:tableColumn id="10" name="License / support / gaps"/>
    <x:tableColumn id="11" name="Validation dat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8" name="DeliveryDependenciesTableV3" displayName="DeliveryDependenciesTableV3" ref="A5:P13" headerRowCount="1" totalsRowCount="0" totalsRowShown="0">
  <x:tableColumns count="16">
    <x:tableColumn id="1" name="ID"/>
    <x:tableColumn id="2" name="Accountable tower"/>
    <x:tableColumn id="3" name="Work package"/>
    <x:tableColumn id="4" name="Reference role days*"/>
    <x:tableColumn id="5" name="Required inputs"/>
    <x:tableColumn id="6" name="Deliverable"/>
    <x:tableColumn id="7" name="Lead role to nominate"/>
    <x:tableColumn id="8" name="Acceptance"/>
    <x:tableColumn id="9" name="Named lead / backup"/>
    <x:tableColumn id="10" name="Committed role days"/>
    <x:tableColumn id="11" name="Needed date"/>
    <x:tableColumn id="12" name="Commitment status"/>
    <x:tableColumn id="13" name="Fallback / escalation"/>
    <x:tableColumn id="14" name="Cost treatment"/>
    <x:tableColumn id="15" name="Support coverage"/>
    <x:tableColumn id="16" name="Estimate role days (editable)*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9" name="ProposedRACITable" displayName="ProposedRACITable" ref="A22:G33" headerRowCount="1" totalsRowCount="0" totalsRowShown="0">
  <x:tableColumns count="7">
    <x:tableColumn id="1" name="Deliverable"/>
    <x:tableColumn id="2" name="Infra"/>
    <x:tableColumn id="3" name="Security"/>
    <x:tableColumn id="4" name="DevOps"/>
    <x:tableColumn id="5" name="Data"/>
    <x:tableColumn id="6" name="Engineering"/>
    <x:tableColumn id="7" name="AI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1" name="LaunchGatesTable" displayName="LaunchGatesTable" ref="A5:L14" headerRowCount="1" totalsRowCount="0" totalsRowShown="0">
  <x:tableColumns count="12">
    <x:tableColumn id="1" name="ID"/>
    <x:tableColumn id="2" name="Start day"/>
    <x:tableColumn id="3" name="End day"/>
    <x:tableColumn id="4" name="Gate"/>
    <x:tableColumn id="5" name="Accountable role"/>
    <x:tableColumn id="6" name="Pass evidence"/>
    <x:tableColumn id="7" name="Priority"/>
    <x:tableColumn id="8" name="Evidence status"/>
    <x:tableColumn id="9" name="Evidence / decision"/>
    <x:tableColumn id="10" name="Named approver"/>
    <x:tableColumn id="11" name="Start date"/>
    <x:tableColumn id="12" name="End dat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2" name="DealPracticeTable" displayName="DealPracticeTable" ref="A5:K9" headerRowCount="1" totalsRowCount="0" totalsRowShown="0">
  <x:tableColumns count="11">
    <x:tableColumn id="1" name="ID"/>
    <x:tableColumn id="2" name="Week"/>
    <x:tableColumn id="3" name="Scenario"/>
    <x:tableColumn id="4" name="Customer brief"/>
    <x:tableColumn id="5" name="Your task"/>
    <x:tableColumn id="6" name="Pursuit pack"/>
    <x:tableColumn id="7" name="Reviewers to engage"/>
    <x:tableColumn id="8" name="Critical test"/>
    <x:tableColumn id="9" name="Status"/>
    <x:tableColumn id="10" name="Review score 0-4"/>
    <x:tableColumn id="11" name="Evidence / next improvement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20" name="MarketPlanTable" displayName="MarketPlanTable" ref="A5:L10" headerRowCount="1" totalsRowCount="0" totalsRowShown="0">
  <x:tableColumns count="12">
    <x:tableColumn id="1" name="Market"/>
    <x:tableColumn id="2" name="Country group"/>
    <x:tableColumn id="3" name="Proposed buyer / trigger"/>
    <x:tableColumn id="4" name="Offer positioning"/>
    <x:tableColumn id="5" name="Discovery emphasis"/>
    <x:tableColumn id="6" name="Delivery / coverage"/>
    <x:tableColumn id="7" name="Commercial inputs"/>
    <x:tableColumn id="8" name="Expansion route"/>
    <x:tableColumn id="9" name="Validation before quote"/>
    <x:tableColumn id="10" name="Account / lead"/>
    <x:tableColumn id="11" name="Evidence status"/>
    <x:tableColumn id="12" name="Source / positioning basi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21" name="VideoLearningTable" displayName="VideoLearningTable" ref="A5:N19" headerRowCount="1" totalsRowCount="0" totalsRowShown="0">
  <x:tableColumns count="14">
    <x:tableColumn id="1" name="ID"/>
    <x:tableColumn id="2" name="Platform"/>
    <x:tableColumn id="3" name="Weeks"/>
    <x:tableColumn id="4" name="Resource title"/>
    <x:tableColumn id="5" name="Instructor / publisher"/>
    <x:tableColumn id="6" name="Direct URL"/>
    <x:tableColumn id="7" name="Access"/>
    <x:tableColumn id="8" name="Priority"/>
    <x:tableColumn id="9" name="What to watch"/>
    <x:tableColumn id="10" name="GTM output"/>
    <x:tableColumn id="11" name="Freshness / limitation"/>
    <x:tableColumn id="12" name="Link evidence"/>
    <x:tableColumn id="13" name="Status"/>
    <x:tableColumn id="14" name="Actual watch hour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1a7dd26c06048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950fcc512364d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ca8d03c37da45b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2749e88269a498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b8f13af3c394fd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ecdc910f4544eb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86df1db4d7e4eb3" /><Relationship Type="http://schemas.openxmlformats.org/officeDocument/2006/relationships/table" Target="/xl/tables/table8.xml" Id="Reb4806b18f91403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cd2b64d854f8475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558edd77f1634f18" /><Relationship Type="http://schemas.openxmlformats.org/officeDocument/2006/relationships/table" Target="/xl/tables/table11.xml" Id="Rb4a7b97b51f845b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04d764284f74461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ff6cc5494f4d4dd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0c132b955d5e4088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314e88263e8045d7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43" hidden="0" customWidth="1"/>
    <x:col min="2" max="2" width="21" hidden="0" customWidth="1"/>
    <x:col min="3" max="3" width="5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10"/>
      <x:c r="B1" s="10"/>
      <x:c r="C1" s="10"/>
      <x:c r="D1" s="10"/>
      <x:c r="E1" s="10"/>
      <x:c r="F1" s="10"/>
      <x:c r="G1" s="10"/>
      <x:c r="H1" s="10"/>
    </x:row>
    <x:row r="2">
      <x:c r="A2" s="11" t="str">
        <x:v>CIS Infra Azure AI GTM Builder</x:v>
      </x:c>
      <x:c r="B2" s="10"/>
      <x:c r="C2" s="10"/>
      <x:c r="D2" s="10"/>
      <x:c r="E2" s="10"/>
      <x:c r="F2" s="10"/>
      <x:c r="G2" s="10"/>
      <x:c r="H2" s="10"/>
    </x:row>
    <x:row r="3">
      <x:c r="A3" s="10"/>
      <x:c r="B3" s="10"/>
      <x:c r="C3" s="10"/>
      <x:c r="D3" s="10"/>
      <x:c r="E3" s="10"/>
      <x:c r="F3" s="10"/>
      <x:c r="G3" s="10"/>
      <x:c r="H3" s="10"/>
    </x:row>
    <x:row r="4">
      <x:c r="A4" s="10" t="str">
        <x:v>Upendra Kumar | EMEA + US GTM | USD | Revised 10 Oct 2026</x:v>
      </x:c>
      <x:c r="B4" s="10"/>
      <x:c r="C4" s="10"/>
      <x:c r="D4" s="10"/>
      <x:c r="E4" s="10"/>
      <x:c r="F4" s="10"/>
      <x:c r="G4" s="10"/>
      <x:c r="H4" s="10"/>
    </x:row>
    <x:row r="5">
      <x:c r="A5" s="10"/>
      <x:c r="B5" s="10"/>
      <x:c r="C5" s="10"/>
      <x:c r="D5" s="10"/>
      <x:c r="E5" s="10"/>
      <x:c r="F5" s="10"/>
      <x:c r="G5" s="10"/>
      <x:c r="H5" s="10"/>
    </x:row>
    <x:row r="6" ht="40" customHeight="1">
      <x:c r="A6" s="10" t="str">
        <x:v>Learning start Monday</x:v>
      </x:c>
      <x:c r="B6" s="49" t="d">
        <x:v>2026-10-12T00:00:00.000Z</x:v>
      </x:c>
      <x:c r="C6" s="10"/>
      <x:c r="D6" s="16" t="str">
        <x:v>Purpose: build and defend a repeatable CIS Infra platform offering.</x:v>
      </x:c>
      <x:c r="E6" s="16"/>
      <x:c r="F6" s="16"/>
      <x:c r="G6" s="16"/>
      <x:c r="H6" s="16"/>
    </x:row>
    <x:row r="7" ht="40" customHeight="1">
      <x:c r="A7" s="10" t="str">
        <x:v>30-day validation start</x:v>
      </x:c>
      <x:c r="B7" s="49" t="d">
        <x:v>2026-10-12T00:00:00.000Z</x:v>
      </x:c>
      <x:c r="C7" s="10"/>
      <x:c r="D7" s="16" t="str">
        <x:v>Launch sequence: assessment → foundation extension → managed operations.</x:v>
      </x:c>
      <x:c r="E7" s="16"/>
      <x:c r="F7" s="16"/>
      <x:c r="G7" s="16"/>
      <x:c r="H7" s="16"/>
    </x:row>
    <x:row r="8" ht="40" customHeight="1">
      <x:c r="A8" s="10" t="str">
        <x:v>Weekly learning capacity (hours)</x:v>
      </x:c>
      <x:c r="B8" s="48" t="n">
        <x:v>10</x:v>
      </x:c>
      <x:c r="C8" s="10"/>
      <x:c r="D8" s="16" t="str">
        <x:v>Begin with O02 and one representative workload, as Proposal V3 recommends.</x:v>
      </x:c>
      <x:c r="E8" s="16"/>
      <x:c r="F8" s="16"/>
      <x:c r="G8" s="16"/>
      <x:c r="H8" s="16"/>
    </x:row>
    <x:row r="9" ht="40" customHeight="1">
      <x:c r="A9" s="10" t="str">
        <x:v>Learning + solutioning weeks</x:v>
      </x:c>
      <x:c r="B9" s="10" t="n">
        <x:v>10</x:v>
      </x:c>
      <x:c r="C9" s="10"/>
      <x:c r="D9" s="16" t="str">
        <x:v>Use yellow cells for inputs. Proposed / Validated / Approved require evidence.</x:v>
      </x:c>
      <x:c r="E9" s="16"/>
      <x:c r="F9" s="16"/>
      <x:c r="G9" s="16"/>
      <x:c r="H9" s="16"/>
    </x:row>
    <x:row r="10" ht="40" customHeight="1">
      <x:c r="A10" s="10"/>
      <x:c r="B10" s="10"/>
      <x:c r="C10" s="10"/>
      <x:c r="D10" s="16" t="str">
        <x:v>Scope platform acceptance separately from AI workload acceptance.</x:v>
      </x:c>
      <x:c r="E10" s="16"/>
      <x:c r="F10" s="16"/>
      <x:c r="G10" s="16"/>
      <x:c r="H10" s="16"/>
    </x:row>
    <x:row r="11" ht="40" customHeight="1">
      <x:c r="A11" s="10" t="str">
        <x:v>Offer cards approved / 3</x:v>
      </x:c>
      <x:c r="B11" s="10" t="n">
        <x:f>COUNTIFS('Offer Cards'!P6:P8,"Approved")</x:f>
        <x:v>0</x:v>
      </x:c>
      <x:c r="C11" s="10"/>
      <x:c r="D11" s="16" t="str">
        <x:v>Confirm specialist work, access, capacity and support before quotation.</x:v>
      </x:c>
      <x:c r="E11" s="16"/>
      <x:c r="F11" s="16"/>
      <x:c r="G11" s="16"/>
      <x:c r="H11" s="16"/>
    </x:row>
    <x:row r="12" ht="40" customHeight="1">
      <x:c r="A12" s="10" t="str">
        <x:v>Reusable assets validated or approved / 10</x:v>
      </x:c>
      <x:c r="B12" s="10" t="n">
        <x:f>COUNTIFS('Assets and Evidence'!H6:H15,"Validated")+COUNTIFS('Assets and Evidence'!H6:H15,"Approved")</x:f>
        <x:v>0</x:v>
      </x:c>
      <x:c r="C12" s="10"/>
      <x:c r="D12" s="16" t="str">
        <x:v>Use Commercial Model: enter approved rates and actual model/license prices.</x:v>
      </x:c>
      <x:c r="E12" s="16"/>
      <x:c r="F12" s="16"/>
      <x:c r="G12" s="16"/>
      <x:c r="H12" s="16"/>
    </x:row>
    <x:row r="13" ht="40" customHeight="1">
      <x:c r="A13" s="10" t="str">
        <x:v>Dependencies committed or accepted / 8</x:v>
      </x:c>
      <x:c r="B13" s="10" t="n">
        <x:f>COUNTIFS('Delivery Dependencies'!L6:L13,"Committed")+COUNTIFS('Delivery Dependencies'!L6:L13,"Delivered")+COUNTIFS('Delivery Dependencies'!L6:L13,"Accepted")</x:f>
        <x:v>0</x:v>
      </x:c>
      <x:c r="C13" s="10"/>
      <x:c r="D13" s="16" t="str">
        <x:v>USD cost inputs: approved EMEA/US rates, effort mix and model prices. INR example conversion is optional.</x:v>
      </x:c>
      <x:c r="E13" s="16"/>
      <x:c r="F13" s="16"/>
      <x:c r="G13" s="16"/>
      <x:c r="H13" s="16"/>
    </x:row>
    <x:row r="14" ht="40" customHeight="1">
      <x:c r="A14" s="10" t="str">
        <x:v>Candidates assessed / 3</x:v>
      </x:c>
      <x:c r="B14" s="10" t="n">
        <x:f>COUNTIFS(Qualification!G22:G24,"Proceed")+COUNTIFS(Qualification!G22:G24,"Paid assessment")+COUNTIFS(Qualification!G22:G24,"Decline")</x:f>
        <x:v>0</x:v>
      </x:c>
      <x:c r="C14" s="10"/>
      <x:c r="D14" s="16" t="str">
        <x:v>Complete four Deal Practice exercises and record reviewer evidence.</x:v>
      </x:c>
      <x:c r="E14" s="16"/>
      <x:c r="F14" s="16"/>
      <x:c r="G14" s="16"/>
      <x:c r="H14" s="16"/>
    </x:row>
    <x:row r="15" ht="40" customHeight="1">
      <x:c r="A15" s="10" t="str">
        <x:v>Launch gates approved / 9</x:v>
      </x:c>
      <x:c r="B15" s="10" t="n">
        <x:f>COUNTIFS('Launch Gates'!H6:H14,"Approved")</x:f>
        <x:v>0</x:v>
      </x:c>
      <x:c r="C15" s="10"/>
      <x:c r="D15" s="16" t="str">
        <x:v>30-day offer validation, 10-week learning and customer delivery are different schedules.</x:v>
      </x:c>
      <x:c r="E15" s="16"/>
      <x:c r="F15" s="16"/>
      <x:c r="G15" s="16"/>
      <x:c r="H15" s="16"/>
    </x:row>
    <x:row r="16" ht="40" customHeight="1">
      <x:c r="A16" s="10" t="str">
        <x:v>Practice packs completed / 4</x:v>
      </x:c>
      <x:c r="B16" s="10" t="n">
        <x:f>COUNTIFS('Deal Practice'!I6:I9,"Completed")</x:f>
        <x:v>0</x:v>
      </x:c>
      <x:c r="C16" s="10"/>
      <x:c r="D16" s="16" t="str">
        <x:v>Launch Gates require human approval; dashboard counts are not authorization.</x:v>
      </x:c>
      <x:c r="E16" s="16"/>
      <x:c r="F16" s="16"/>
      <x:c r="G16" s="16"/>
      <x:c r="H16" s="16"/>
    </x:row>
    <x:row r="17" ht="40" customHeight="1">
      <x:c r="A17" s="10" t="str">
        <x:v>Learning modules + labs completed / 40</x:v>
      </x:c>
      <x:c r="B17" s="10" t="n">
        <x:f>COUNTIFS('Learn Modules'!G6:G30,"Completed")+COUNTIFS('GitHub Labs'!I6:I20,"Completed")</x:f>
        <x:v>0</x:v>
      </x:c>
      <x:c r="C17" s="10"/>
      <x:c r="D17" s="16" t="str">
        <x:v>Working package names and tower ownership are proposals, not Cognizant policy.</x:v>
      </x:c>
      <x:c r="E17" s="16"/>
      <x:c r="F17" s="16"/>
      <x:c r="G17" s="16"/>
      <x:c r="H17" s="16"/>
    </x:row>
    <x:row r="18" ht="40" customHeight="1">
      <x:c r="A18" s="10" t="str">
        <x:v>Planned learning + video hours</x:v>
      </x:c>
      <x:c r="B18" s="10" t="n">
        <x:f>SUM('Weekly Plan'!T6:T15)</x:f>
        <x:v>99.25</x:v>
      </x:c>
      <x:c r="C18" s="10"/>
      <x:c r="D18" s="16" t="str">
        <x:v>No customer accounts, rates, current prices or internal asset availability are asserted.</x:v>
      </x:c>
      <x:c r="E18" s="16"/>
      <x:c r="F18" s="16"/>
      <x:c r="G18" s="16"/>
      <x:c r="H18" s="16"/>
    </x:row>
    <x:row r="19" ht="43" customHeight="1">
      <x:c r="A19" s="10" t="str">
        <x:v>Learning capacity (hours)</x:v>
      </x:c>
      <x:c r="B19" s="10" t="n">
        <x:f>B8*B9</x:f>
        <x:v>100</x:v>
      </x:c>
      <x:c r="C19" s="10"/>
      <x:c r="D19" s="10"/>
      <x:c r="E19" s="10"/>
      <x:c r="F19" s="10"/>
      <x:c r="G19" s="10"/>
      <x:c r="H19" s="10"/>
    </x:row>
    <x:row r="20" ht="43" customHeight="1">
      <x:c r="A20" s="10"/>
      <x:c r="B20" s="10"/>
      <x:c r="C20" s="10"/>
      <x:c r="D20" s="10"/>
      <x:c r="E20" s="10"/>
      <x:c r="F20" s="10"/>
      <x:c r="G20" s="10"/>
      <x:c r="H20" s="10"/>
    </x:row>
    <x:row r="21" ht="43" customHeight="1">
      <x:c r="A21" s="10"/>
      <x:c r="B21" s="10"/>
      <x:c r="C21" s="10"/>
      <x:c r="D21" s="10"/>
      <x:c r="E21" s="10"/>
      <x:c r="F21" s="10"/>
      <x:c r="G21" s="10"/>
      <x:c r="H21" s="10"/>
    </x:row>
    <x:row r="22" ht="45" customHeight="1">
      <x:c r="A22" s="50" t="str">
        <x:v>Source and operating assumptions</x:v>
      </x:c>
      <x:c r="B22" s="50"/>
      <x:c r="C22" s="50"/>
      <x:c r="D22" s="50"/>
      <x:c r="E22" s="50"/>
      <x:c r="F22" s="50"/>
      <x:c r="G22" s="50"/>
      <x:c r="H22" s="50"/>
    </x:row>
    <x:row r="23" ht="45" customHeight="1">
      <x:c r="A23" s="16" t="str">
        <x:v>Source: CIS Infra Azure AI Platform GTM Proposal V3, 8 Oct 2026. Internal proposal; approval pending.</x:v>
      </x:c>
      <x:c r="B23" s="16"/>
      <x:c r="C23" s="16"/>
      <x:c r="D23" s="16"/>
      <x:c r="E23" s="16"/>
      <x:c r="F23" s="16"/>
      <x:c r="G23" s="16"/>
      <x:c r="H23" s="16"/>
    </x:row>
    <x:row r="24" ht="45" customHeight="1">
      <x:c r="A24" s="16" t="str">
        <x:v>25 Learn modules, 15 GitHub labs and 14 video/course links. Selected video segments add 5 hours to the 10-week plan; full course completion is optional.</x:v>
      </x:c>
      <x:c r="B24" s="16"/>
      <x:c r="C24" s="16"/>
      <x:c r="D24" s="16"/>
      <x:c r="E24" s="16"/>
      <x:c r="F24" s="16"/>
      <x:c r="G24" s="16"/>
      <x:c r="H24" s="16"/>
    </x:row>
    <x:row r="25" ht="45" customHeight="1">
      <x:c r="A25" s="16" t="str">
        <x:v>Proposal baseline: mature landing zone; one approved region; dev/prod; one workload/source; existing hybrid connectivity. Enumerate exact resources/connectors in the SOW.</x:v>
      </x:c>
      <x:c r="B25" s="16"/>
      <x:c r="C25" s="16"/>
      <x:c r="D25" s="16"/>
      <x:c r="E25" s="16"/>
      <x:c r="F25" s="16"/>
      <x:c r="G25" s="16"/>
      <x:c r="H25" s="16"/>
    </x:row>
    <x:row r="26" ht="45" customHeight="1">
      <x:c r="A26" s="16" t="str">
        <x:v>M365 Copilot/Studio administration, business process redesign, AI quality, ingestion and security operations require separate accountable specialist scope.</x:v>
      </x:c>
      <x:c r="B26" s="16"/>
      <x:c r="C26" s="16"/>
      <x:c r="D26" s="16"/>
      <x:c r="E26" s="16"/>
      <x:c r="F26" s="16"/>
      <x:c r="G26" s="16"/>
      <x:c r="H26" s="16"/>
    </x:row>
    <x:row r="27" ht="45" customHeight="1">
      <x:c r="A27" s="16" t="str">
        <x:v>Pricing controls: approved USD regional costs and onshore/offshore effort mix; validate country, FX if needed, consumption region, licensing and support.</x:v>
      </x:c>
      <x:c r="B27" s="16"/>
      <x:c r="C27" s="16"/>
      <x:c r="D27" s="16"/>
      <x:c r="E27" s="16"/>
      <x:c r="F27" s="16"/>
      <x:c r="G27" s="16"/>
      <x:c r="H27" s="16"/>
    </x:row>
    <x:row r="28" ht="45" customHeight="1">
      <x:c r="A28" s="16" t="str">
        <x:v>First action: complete O02 offer card, nominate tower leads, validate assets and qualify one funded workload. Retain learning resources for gaps that block these outputs.</x:v>
      </x:c>
      <x:c r="B28" s="16"/>
      <x:c r="C28" s="16"/>
      <x:c r="D28" s="16"/>
      <x:c r="E28" s="16"/>
      <x:c r="F28" s="16"/>
      <x:c r="G28" s="16"/>
      <x:c r="H28" s="16"/>
    </x:row>
    <x:row r="29">
      <x:c r="A29" s="10"/>
      <x:c r="B29" s="10"/>
      <x:c r="C29" s="10"/>
      <x:c r="D29" s="10"/>
      <x:c r="E29" s="10"/>
      <x:c r="F29" s="10"/>
      <x:c r="G29" s="10"/>
      <x:c r="H29" s="10"/>
    </x:row>
    <x:row r="30">
      <x:c r="A30" s="10"/>
      <x:c r="B30" s="10"/>
      <x:c r="C30" s="10"/>
      <x:c r="D30" s="10"/>
      <x:c r="E30" s="10"/>
      <x:c r="F30" s="10"/>
      <x:c r="G30" s="10"/>
      <x:c r="H30" s="10"/>
    </x:row>
    <x:row r="31">
      <x:c r="A31" s="10"/>
      <x:c r="B31" s="10"/>
      <x:c r="C31" s="10"/>
      <x:c r="D31" s="10"/>
      <x:c r="E31" s="10"/>
      <x:c r="F31" s="10"/>
      <x:c r="G31" s="10"/>
      <x:c r="H31" s="10"/>
    </x:row>
    <x:row r="32">
      <x:c r="A32" s="10"/>
      <x:c r="B32" s="10"/>
      <x:c r="C32" s="10"/>
      <x:c r="D32" s="10"/>
      <x:c r="E32" s="10"/>
      <x:c r="F32" s="10"/>
      <x:c r="G32" s="10"/>
      <x:c r="H32" s="10"/>
    </x:row>
  </x:sheetData>
  <x:mergeCells>
    <x:mergeCell ref="D6:H6"/>
    <x:mergeCell ref="D7:H7"/>
    <x:mergeCell ref="D8:H8"/>
    <x:mergeCell ref="D9:H9"/>
    <x:mergeCell ref="D10:H10"/>
    <x:mergeCell ref="D11:H11"/>
    <x:mergeCell ref="D12:H12"/>
    <x:mergeCell ref="D13:H13"/>
    <x:mergeCell ref="D14:H14"/>
    <x:mergeCell ref="D15:H15"/>
    <x:mergeCell ref="D16:H16"/>
    <x:mergeCell ref="D17:H17"/>
    <x:mergeCell ref="D18:H18"/>
    <x:mergeCell ref="A22:H22"/>
    <x:mergeCell ref="A23:H23"/>
    <x:mergeCell ref="A24:H24"/>
    <x:mergeCell ref="A25:H25"/>
    <x:mergeCell ref="A26:H26"/>
    <x:mergeCell ref="A27:H27"/>
    <x:mergeCell ref="A28:H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" hidden="0" customWidth="1"/>
    <x:col min="2" max="2" width="14" hidden="0" customWidth="1"/>
    <x:col min="3" max="3" width="14" hidden="0" customWidth="1"/>
    <x:col min="4" max="4" width="27" hidden="0" customWidth="1"/>
    <x:col min="5" max="5" width="24" hidden="0" customWidth="1"/>
    <x:col min="6" max="6" width="48" hidden="0" customWidth="1"/>
    <x:col min="7" max="7" width="48" hidden="0" customWidth="1"/>
    <x:col min="8" max="8" width="55" hidden="0" customWidth="1"/>
    <x:col min="9" max="9" width="55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3" hidden="0" customWidth="1"/>
    <x:col min="15" max="15" width="13" hidden="0" customWidth="1"/>
    <x:col min="16" max="16" width="13" hidden="0" customWidth="1"/>
    <x:col min="17" max="17" width="50" hidden="0" customWidth="1"/>
    <x:col min="18" max="18" width="52" hidden="0" customWidth="1"/>
    <x:col min="19" max="19" width="19" hidden="0" customWidth="1"/>
    <x:col min="20" max="20" width="19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>
      <x:c r="A2" s="2" t="str">
        <x:v>10-week learning and deal-solutioning plan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38" customHeight="1">
      <x:c r="A5" s="19" t="str">
        <x:v>Week</x:v>
      </x:c>
      <x:c r="B5" s="19" t="str">
        <x:v>Start date</x:v>
      </x:c>
      <x:c r="C5" s="19" t="str">
        <x:v>End date</x:v>
      </x:c>
      <x:c r="D5" s="19" t="str">
        <x:v>Focus</x:v>
      </x:c>
      <x:c r="E5" s="19" t="str">
        <x:v>Resources</x:v>
      </x:c>
      <x:c r="F5" s="19" t="str">
        <x:v>Architecture focus</x:v>
      </x:c>
      <x:c r="G5" s="19" t="str">
        <x:v>Deliverable</x:v>
      </x:c>
      <x:c r="H5" s="19" t="str">
        <x:v>Client-meeting capability</x:v>
      </x:c>
      <x:c r="I5" s="19" t="str">
        <x:v>Senior Manager action</x:v>
      </x:c>
      <x:c r="J5" s="19" t="str">
        <x:v>Study hours</x:v>
      </x:c>
      <x:c r="K5" s="19" t="str">
        <x:v>Lab hours</x:v>
      </x:c>
      <x:c r="L5" s="19" t="str">
        <x:v>Output hours</x:v>
      </x:c>
      <x:c r="M5" s="19" t="str">
        <x:v>Total hours</x:v>
      </x:c>
      <x:c r="N5" s="19" t="str">
        <x:v>Completed tasks</x:v>
      </x:c>
      <x:c r="O5" s="19" t="str">
        <x:v>Total tasks</x:v>
      </x:c>
      <x:c r="P5" s="19" t="str">
        <x:v>Completion</x:v>
      </x:c>
      <x:c r="Q5" s="19" t="str">
        <x:v>GTM output alongside learning</x:v>
      </x:c>
      <x:c r="R5" s="86" t="str">
        <x:v>Video options (choose segments)</x:v>
      </x:c>
      <x:c r="S5" s="86" t="str">
        <x:v>Video hours budget</x:v>
      </x:c>
      <x:c r="T5" s="86" t="str">
        <x:v>Total incl. video hours</x:v>
      </x:c>
    </x:row>
    <x:row r="6" ht="72" customHeight="1">
      <x:c r="A6" s="20" t="n">
        <x:v>1</x:v>
      </x:c>
      <x:c r="B6" s="21" t="n">
        <x:f>'Start Here'!B6+(A6-1)*7</x:f>
        <x:v>46307</x:v>
      </x:c>
      <x:c r="C6" s="21" t="n">
        <x:f>B6+6</x:f>
        <x:v>46313</x:v>
      </x:c>
      <x:c r="D6" s="20" t="str">
        <x:v>Platform foundations</x:v>
      </x:c>
      <x:c r="E6" s="20" t="str">
        <x:v>M01-M04; L01-L02</x:v>
      </x:c>
      <x:c r="F6" s="20" t="str">
        <x:v>Model deployment, project boundaries, endpoint and SDK selection</x:v>
      </x:c>
      <x:c r="G6" s="20" t="str">
        <x:v>Platform decision matrix + sandbox README</x:v>
      </x:c>
      <x:c r="H6" s="20" t="str">
        <x:v>Explain when to choose Foundry, Studio or M365 Copilot; identify access blockers.</x:v>
      </x:c>
      <x:c r="I6" s="20" t="str">
        <x:v>Confirm sandbox owner, spend limit, quota and tenant permissions.</x:v>
      </x:c>
      <x:c r="J6" s="20" t="n">
        <x:f>SUMIFS('Learn Modules'!E6:E30,'Learn Modules'!B6:B30,A6)</x:f>
        <x:v>3.5</x:v>
      </x:c>
      <x:c r="K6" s="20" t="n">
        <x:f>SUMIFS('GitHub Labs'!F6:F20,'GitHub Labs'!B6:B20,A6)</x:f>
        <x:v>3</x:v>
      </x:c>
      <x:c r="L6" s="22" t="n">
        <x:v>1.5</x:v>
      </x:c>
      <x:c r="M6" s="20" t="n">
        <x:f>SUM(J6:L6)</x:f>
        <x:v>8</x:v>
      </x:c>
      <x:c r="N6" s="20" t="n">
        <x:f>COUNTIFS('Learn Modules'!B6:B30,A6,'Learn Modules'!G6:G30,"Completed")+COUNTIFS('GitHub Labs'!B6:B20,A6,'GitHub Labs'!I6:I20,"Completed")</x:f>
        <x:v>0</x:v>
      </x:c>
      <x:c r="O6" s="20" t="n">
        <x:f>COUNTIFS('Learn Modules'!B6:B30,A6)+COUNTIFS('GitHub Labs'!B6:B20,A6)</x:f>
        <x:v>6</x:v>
      </x:c>
      <x:c r="P6" s="23" t="n">
        <x:f>N6/O6</x:f>
        <x:v>0</x:v>
      </x:c>
      <x:c r="Q6" s="60" t="str">
        <x:v>Runtime/BOM and readiness questions</x:v>
      </x:c>
      <x:c r="R6" s="60" t="str">
        <x:v>V04; optional V03/V10</x:v>
      </x:c>
      <x:c r="S6" s="84" t="n">
        <x:v>0.5</x:v>
      </x:c>
      <x:c r="T6" s="60" t="n">
        <x:f>M6+S6</x:f>
        <x:v>8.5</x:v>
      </x:c>
    </x:row>
    <x:row r="7" ht="72" customHeight="1">
      <x:c r="A7" s="20" t="n">
        <x:v>2</x:v>
      </x:c>
      <x:c r="B7" s="21" t="n">
        <x:f>'Start Here'!B6+(A7-1)*7</x:f>
        <x:v>46314</x:v>
      </x:c>
      <x:c r="C7" s="21" t="n">
        <x:f>B7+6</x:f>
        <x:v>46320</x:v>
      </x:c>
      <x:c r="D7" s="20" t="str">
        <x:v>Enterprise RAG</x:v>
      </x:c>
      <x:c r="E7" s="20" t="str">
        <x:v>M05-M08; L03-L05</x:v>
      </x:c>
      <x:c r="F7" s="20" t="str">
        <x:v>Retrieval, ACLs, evaluation, citations, tool boundaries</x:v>
      </x:c>
      <x:c r="G7" s="20" t="str">
        <x:v>Enterprise RAG demo + 20-question evaluation</x:v>
      </x:c>
      <x:c r="H7" s="20" t="str">
        <x:v>Explain why retrieval quality and permissions matter; defend grounding approach.</x:v>
      </x:c>
      <x:c r="I7" s="20" t="str">
        <x:v>Separate ingestion ownership from platform ownership; agree evaluation threshold.</x:v>
      </x:c>
      <x:c r="J7" s="20" t="n">
        <x:f>SUMIFS('Learn Modules'!E6:E30,'Learn Modules'!B6:B30,A7)</x:f>
        <x:v>3</x:v>
      </x:c>
      <x:c r="K7" s="20" t="n">
        <x:f>SUMIFS('GitHub Labs'!F6:F20,'GitHub Labs'!B6:B20,A7)</x:f>
        <x:v>5.5</x:v>
      </x:c>
      <x:c r="L7" s="22" t="n">
        <x:v>1.5</x:v>
      </x:c>
      <x:c r="M7" s="20" t="n">
        <x:f>SUM(J7:L7)</x:f>
        <x:v>10</x:v>
      </x:c>
      <x:c r="N7" s="20" t="n">
        <x:f>COUNTIFS('Learn Modules'!B6:B30,A7,'Learn Modules'!G6:G30,"Completed")+COUNTIFS('GitHub Labs'!B6:B20,A7,'GitHub Labs'!I6:I20,"Completed")</x:f>
        <x:v>0</x:v>
      </x:c>
      <x:c r="O7" s="20" t="n">
        <x:f>COUNTIFS('Learn Modules'!B6:B30,A7)+COUNTIFS('GitHub Labs'!B6:B20,A7)</x:f>
        <x:v>7</x:v>
      </x:c>
      <x:c r="P7" s="23" t="n">
        <x:f>N7/O7</x:f>
        <x:v>0</x:v>
      </x:c>
      <x:c r="Q7" s="60" t="str">
        <x:v>RAG onboarding scope + quality ownership</x:v>
      </x:c>
      <x:c r="R7" s="60" t="str">
        <x:v>V05; optional V10</x:v>
      </x:c>
      <x:c r="S7" s="84" t="n">
        <x:v>0.5</x:v>
      </x:c>
      <x:c r="T7" s="60" t="n">
        <x:f>M7+S7</x:f>
        <x:v>10.5</x:v>
      </x:c>
    </x:row>
    <x:row r="8" ht="72" customHeight="1">
      <x:c r="A8" s="20" t="n">
        <x:v>3</x:v>
      </x:c>
      <x:c r="B8" s="21" t="n">
        <x:f>'Start Here'!B6+(A8-1)*7</x:f>
        <x:v>46321</x:v>
      </x:c>
      <x:c r="C8" s="21" t="n">
        <x:f>B8+6</x:f>
        <x:v>46327</x:v>
      </x:c>
      <x:c r="D8" s="20" t="str">
        <x:v>Copilot Studio</x:v>
      </x:c>
      <x:c r="E8" s="20" t="str">
        <x:v>M09-M12; L06-L08</x:v>
      </x:c>
      <x:c r="F8" s="20" t="str">
        <x:v>Topics, knowledge, workflows, connectors, deterministic approval</x:v>
      </x:c>
      <x:c r="G8" s="20" t="str">
        <x:v>IT service desk demo + regression set</x:v>
      </x:c>
      <x:c r="H8" s="20" t="str">
        <x:v>Explain action authorization, fallback, duplicate handling and deployment controls.</x:v>
      </x:c>
      <x:c r="I8" s="20" t="str">
        <x:v>Engage Power Platform/AI owner; use mock APIs until business access is approved.</x:v>
      </x:c>
      <x:c r="J8" s="20" t="n">
        <x:f>SUMIFS('Learn Modules'!E6:E30,'Learn Modules'!B6:B30,A8)</x:f>
        <x:v>3</x:v>
      </x:c>
      <x:c r="K8" s="20" t="n">
        <x:f>SUMIFS('GitHub Labs'!F6:F20,'GitHub Labs'!B6:B20,A8)</x:f>
        <x:v>5</x:v>
      </x:c>
      <x:c r="L8" s="22" t="n">
        <x:v>1.5</x:v>
      </x:c>
      <x:c r="M8" s="20" t="n">
        <x:f>SUM(J8:L8)</x:f>
        <x:v>9.5</x:v>
      </x:c>
      <x:c r="N8" s="20" t="n">
        <x:f>COUNTIFS('Learn Modules'!B6:B30,A8,'Learn Modules'!G6:G30,"Completed")+COUNTIFS('GitHub Labs'!B6:B20,A8,'GitHub Labs'!I6:I20,"Completed")</x:f>
        <x:v>0</x:v>
      </x:c>
      <x:c r="O8" s="20" t="n">
        <x:f>COUNTIFS('Learn Modules'!B6:B30,A8)+COUNTIFS('GitHub Labs'!B6:B20,A8)</x:f>
        <x:v>7</x:v>
      </x:c>
      <x:c r="P8" s="23" t="n">
        <x:f>N8/O8</x:f>
        <x:v>0</x:v>
      </x:c>
      <x:c r="Q8" s="60" t="str">
        <x:v>Action/connector dependency register</x:v>
      </x:c>
      <x:c r="R8" s="60" t="str">
        <x:v>V01 OR V02; V11/V06</x:v>
      </x:c>
      <x:c r="S8" s="84" t="n">
        <x:v>0.5</x:v>
      </x:c>
      <x:c r="T8" s="60" t="n">
        <x:f>M8+S8</x:f>
        <x:v>10</x:v>
      </x:c>
    </x:row>
    <x:row r="9" ht="72" customHeight="1">
      <x:c r="A9" s="20" t="n">
        <x:v>4</x:v>
      </x:c>
      <x:c r="B9" s="21" t="n">
        <x:f>'Start Here'!B6+(A9-1)*7</x:f>
        <x:v>46328</x:v>
      </x:c>
      <x:c r="C9" s="21" t="n">
        <x:f>B9+6</x:f>
        <x:v>46334</x:v>
      </x:c>
      <x:c r="D9" s="20" t="str">
        <x:v>Microsoft 365 Copilot</x:v>
      </x:c>
      <x:c r="E9" s="20" t="str">
        <x:v>M13-M19; L09-L10</x:v>
      </x:c>
      <x:c r="F9" s="20" t="str">
        <x:v>Extensibility, declarative agents, channels, identity</x:v>
      </x:c>
      <x:c r="G9" s="20" t="str">
        <x:v>Agent selection brief + M365 integration demo</x:v>
      </x:c>
      <x:c r="H9" s="20" t="str">
        <x:v>Defend declarative versus custom engine agent; explain license and tenant dependencies.</x:v>
      </x:c>
      <x:c r="I9" s="20" t="str">
        <x:v>Engage M365 owner and Security; validate license and admin publishing permissions.</x:v>
      </x:c>
      <x:c r="J9" s="20" t="n">
        <x:f>SUMIFS('Learn Modules'!E6:E30,'Learn Modules'!B6:B30,A9)</x:f>
        <x:v>4.25</x:v>
      </x:c>
      <x:c r="K9" s="20" t="n">
        <x:f>SUMIFS('GitHub Labs'!F6:F20,'GitHub Labs'!B6:B20,A9)</x:f>
        <x:v>3.5</x:v>
      </x:c>
      <x:c r="L9" s="22" t="n">
        <x:v>1.5</x:v>
      </x:c>
      <x:c r="M9" s="20" t="n">
        <x:f>SUM(J9:L9)</x:f>
        <x:v>9.25</x:v>
      </x:c>
      <x:c r="N9" s="20" t="n">
        <x:f>COUNTIFS('Learn Modules'!B6:B30,A9,'Learn Modules'!G6:G30,"Completed")+COUNTIFS('GitHub Labs'!B6:B20,A9,'GitHub Labs'!I6:I20,"Completed")</x:f>
        <x:v>0</x:v>
      </x:c>
      <x:c r="O9" s="20" t="n">
        <x:f>COUNTIFS('Learn Modules'!B6:B30,A9)+COUNTIFS('GitHub Labs'!B6:B20,A9)</x:f>
        <x:v>9</x:v>
      </x:c>
      <x:c r="P9" s="23" t="n">
        <x:f>N9/O9</x:f>
        <x:v>0</x:v>
      </x:c>
      <x:c r="Q9" s="60" t="str">
        <x:v>M365/Studio scope exclusions</x:v>
      </x:c>
      <x:c r="R9" s="60" t="str">
        <x:v>V12; optional V06</x:v>
      </x:c>
      <x:c r="S9" s="84" t="n">
        <x:v>0.5</x:v>
      </x:c>
      <x:c r="T9" s="60" t="n">
        <x:f>M9+S9</x:f>
        <x:v>9.75</x:v>
      </x:c>
    </x:row>
    <x:row r="10" ht="72" customHeight="1">
      <x:c r="A10" s="20" t="n">
        <x:v>5</x:v>
      </x:c>
      <x:c r="B10" s="21" t="n">
        <x:f>'Start Here'!B6+(A10-1)*7</x:f>
        <x:v>46335</x:v>
      </x:c>
      <x:c r="C10" s="21" t="n">
        <x:f>B10+6</x:f>
        <x:v>46341</x:v>
      </x:c>
      <x:c r="D10" s="20" t="str">
        <x:v>Connected agents</x:v>
      </x:c>
      <x:c r="E10" s="20" t="str">
        <x:v>M20-M22; L11-L13</x:v>
      </x:c>
      <x:c r="F10" s="20" t="str">
        <x:v>Agent Framework, MCP, routing, bounded workflows</x:v>
      </x:c>
      <x:c r="G10" s="20" t="str">
        <x:v>Azure operations assistant using read-only tools</x:v>
      </x:c>
      <x:c r="H10" s="20" t="str">
        <x:v>Explain tool trust, approval boundaries, failure isolation and when one agent is enough.</x:v>
      </x:c>
      <x:c r="I10" s="20" t="str">
        <x:v>Agree API owner, tool schema, supported integration and support boundary.</x:v>
      </x:c>
      <x:c r="J10" s="20" t="n">
        <x:f>SUMIFS('Learn Modules'!E6:E30,'Learn Modules'!B6:B30,A10)</x:f>
        <x:v>2.25</x:v>
      </x:c>
      <x:c r="K10" s="20" t="n">
        <x:f>SUMIFS('GitHub Labs'!F6:F20,'GitHub Labs'!B6:B20,A10)</x:f>
        <x:v>6</x:v>
      </x:c>
      <x:c r="L10" s="22" t="n">
        <x:v>1.5</x:v>
      </x:c>
      <x:c r="M10" s="20" t="n">
        <x:f>SUM(J10:L10)</x:f>
        <x:v>9.75</x:v>
      </x:c>
      <x:c r="N10" s="20" t="n">
        <x:f>COUNTIFS('Learn Modules'!B6:B30,A10,'Learn Modules'!G6:G30,"Completed")+COUNTIFS('GitHub Labs'!B6:B20,A10,'GitHub Labs'!I6:I20,"Completed")</x:f>
        <x:v>0</x:v>
      </x:c>
      <x:c r="O10" s="20" t="n">
        <x:f>COUNTIFS('Learn Modules'!B6:B30,A10)+COUNTIFS('GitHub Labs'!B6:B20,A10)</x:f>
        <x:v>6</x:v>
      </x:c>
      <x:c r="P10" s="23" t="n">
        <x:f>N10/O10</x:f>
        <x:v>0</x:v>
      </x:c>
      <x:c r="Q10" s="60" t="str">
        <x:v>Tool trust and specialist support</x:v>
      </x:c>
      <x:c r="R10" s="60" t="str">
        <x:v>V04 OR V07; V01 MCP section</x:v>
      </x:c>
      <x:c r="S10" s="84" t="n">
        <x:v>0.5</x:v>
      </x:c>
      <x:c r="T10" s="60" t="n">
        <x:f>M10+S10</x:f>
        <x:v>10.25</x:v>
      </x:c>
    </x:row>
    <x:row r="11" ht="72" customHeight="1">
      <x:c r="A11" s="20" t="n">
        <x:v>6</x:v>
      </x:c>
      <x:c r="B11" s="21" t="n">
        <x:f>'Start Here'!B6+(A11-1)*7</x:f>
        <x:v>46342</x:v>
      </x:c>
      <x:c r="C11" s="21" t="n">
        <x:f>B11+6</x:f>
        <x:v>46348</x:v>
      </x:c>
      <x:c r="D11" s="20" t="str">
        <x:v>Enterprise readiness</x:v>
      </x:c>
      <x:c r="E11" s="20" t="str">
        <x:v>M23-M25; L14-L15</x:v>
      </x:c>
      <x:c r="F11" s="20" t="str">
        <x:v>Private networking, governance, observability, FinOps, IaC and handover</x:v>
      </x:c>
      <x:c r="G11" s="20" t="str">
        <x:v>Three-demo presales pack + landing-zone design + ROM</x:v>
      </x:c>
      <x:c r="H11" s="20" t="str">
        <x:v>Present business outcome, scope, dependencies, recurring cost, risk and delivery plan.</x:v>
      </x:c>
      <x:c r="I11" s="20" t="str">
        <x:v>Review with Infra, Security, DevOps, Data and AI; assign owners before commitments.</x:v>
      </x:c>
      <x:c r="J11" s="20" t="n">
        <x:f>SUMIFS('Learn Modules'!E6:E30,'Learn Modules'!B6:B30,A11)</x:f>
        <x:v>2.25</x:v>
      </x:c>
      <x:c r="K11" s="20" t="n">
        <x:f>SUMIFS('GitHub Labs'!F6:F20,'GitHub Labs'!B6:B20,A11)</x:f>
        <x:v>4</x:v>
      </x:c>
      <x:c r="L11" s="22" t="n">
        <x:v>1.5</x:v>
      </x:c>
      <x:c r="M11" s="20" t="n">
        <x:f>SUM(J11:L11)</x:f>
        <x:v>7.75</x:v>
      </x:c>
      <x:c r="N11" s="20" t="n">
        <x:f>COUNTIFS('Learn Modules'!B6:B30,A11,'Learn Modules'!G6:G30,"Completed")+COUNTIFS('GitHub Labs'!B6:B20,A11,'GitHub Labs'!I6:I20,"Completed")</x:f>
        <x:v>0</x:v>
      </x:c>
      <x:c r="O11" s="20" t="n">
        <x:f>COUNTIFS('Learn Modules'!B6:B30,A11)+COUNTIFS('GitHub Labs'!B6:B20,A11)</x:f>
        <x:v>5</x:v>
      </x:c>
      <x:c r="P11" s="23" t="n">
        <x:f>N11/O11</x:f>
        <x:v>0</x:v>
      </x:c>
      <x:c r="Q11" s="60" t="str">
        <x:v>Platform acceptance and operations model</x:v>
      </x:c>
      <x:c r="R11" s="60" t="str">
        <x:v>V08; optional V09</x:v>
      </x:c>
      <x:c r="S11" s="84" t="n">
        <x:v>0.5</x:v>
      </x:c>
      <x:c r="T11" s="60" t="n">
        <x:f>M11+S11</x:f>
        <x:v>8.25</x:v>
      </x:c>
    </x:row>
    <x:row r="12" ht="72" customHeight="1">
      <x:c r="A12" s="20" t="n">
        <x:v>7</x:v>
      </x:c>
      <x:c r="B12" s="21" t="n">
        <x:f>'Start Here'!B6+(A12-1)*7</x:f>
        <x:v>46349</x:v>
      </x:c>
      <x:c r="C12" s="21" t="n">
        <x:f>B12+6</x:f>
        <x:v>46355</x:v>
      </x:c>
      <x:c r="D12" s="20" t="str">
        <x:v>Discovery and offer design</x:v>
      </x:c>
      <x:c r="E12" s="20" t="str">
        <x:v>P01; O01/O02</x:v>
      </x:c>
      <x:c r="F12" s="20" t="str">
        <x:v>Qualification, buyers, scope boundaries</x:v>
      </x:c>
      <x:c r="G12" s="20" t="str">
        <x:v>Completed assessment and foundation offer cards</x:v>
      </x:c>
      <x:c r="H12" s="20" t="str">
        <x:v>Defend why assessment or implementation is appropriate.</x:v>
      </x:c>
      <x:c r="I12" s="20" t="str">
        <x:v>Review offer boundaries with tower leads.</x:v>
      </x:c>
      <x:c r="J12" s="20" t="n">
        <x:v>0</x:v>
      </x:c>
      <x:c r="K12" s="20" t="n">
        <x:v>0</x:v>
      </x:c>
      <x:c r="L12" s="22" t="n">
        <x:v>10</x:v>
      </x:c>
      <x:c r="M12" s="20" t="n">
        <x:f>SUM(J12:L12)</x:f>
        <x:v>10</x:v>
      </x:c>
      <x:c r="N12" s="20" t="n">
        <x:f>COUNTIFS('Deal Practice'!B6:B9,A12,'Deal Practice'!I6:I9,"Completed")</x:f>
        <x:v>0</x:v>
      </x:c>
      <x:c r="O12" s="20" t="n">
        <x:f>COUNTIFS('Deal Practice'!B6:B9,A12)</x:f>
        <x:v>1</x:v>
      </x:c>
      <x:c r="P12" s="23" t="n">
        <x:f>N12/O12</x:f>
        <x:v>0</x:v>
      </x:c>
      <x:c r="Q12" s="60" t="str">
        <x:v>Completed assessment and foundation offer cards</x:v>
      </x:c>
      <x:c r="R12" s="60" t="str">
        <x:v>V13</x:v>
      </x:c>
      <x:c r="S12" s="84" t="n">
        <x:v>0.5</x:v>
      </x:c>
      <x:c r="T12" s="60" t="n">
        <x:f>M12+S12</x:f>
        <x:v>10.5</x:v>
      </x:c>
    </x:row>
    <x:row r="13" ht="72" customHeight="1">
      <x:c r="A13" s="60" t="n">
        <x:v>8</x:v>
      </x:c>
      <x:c r="B13" s="61" t="n">
        <x:f>'Start Here'!B6+(A13-1)*7</x:f>
        <x:v>46356</x:v>
      </x:c>
      <x:c r="C13" s="61" t="n">
        <x:f>B13+6</x:f>
        <x:v>46362</x:v>
      </x:c>
      <x:c r="D13" s="60" t="str">
        <x:v>Sizing and estimating</x:v>
      </x:c>
      <x:c r="E13" s="60" t="str">
        <x:v>P02; Commercial Model</x:v>
      </x:c>
      <x:c r="F13" s="60" t="str">
        <x:v>Consumption, BOM, WBS, resource dependencies</x:v>
      </x:c>
      <x:c r="G13" s="60" t="str">
        <x:v>Reference implementation pursuit pack</x:v>
      </x:c>
      <x:c r="H13" s="60" t="str">
        <x:v>Trace volume assumptions to consumption and role effort.</x:v>
      </x:c>
      <x:c r="I13" s="60" t="str">
        <x:v>Validate rates, quantities and work-package owners.</x:v>
      </x:c>
      <x:c r="J13" s="60" t="n">
        <x:v>0</x:v>
      </x:c>
      <x:c r="K13" s="60" t="n">
        <x:v>0</x:v>
      </x:c>
      <x:c r="L13" s="62" t="n">
        <x:v>10</x:v>
      </x:c>
      <x:c r="M13" s="60" t="n">
        <x:f>SUM(J13:L13)</x:f>
        <x:v>10</x:v>
      </x:c>
      <x:c r="N13" s="60" t="n">
        <x:f>COUNTIFS('Deal Practice'!B6:B9,A13,'Deal Practice'!I6:I9,"Completed")</x:f>
        <x:v>0</x:v>
      </x:c>
      <x:c r="O13" s="60" t="n">
        <x:f>COUNTIFS('Deal Practice'!B6:B9,A13)</x:f>
        <x:v>1</x:v>
      </x:c>
      <x:c r="P13" s="63" t="n">
        <x:f>N13/O13</x:f>
        <x:v>0</x:v>
      </x:c>
      <x:c r="Q13" s="60" t="str">
        <x:v>Reference implementation pursuit pack</x:v>
      </x:c>
      <x:c r="R13" s="60" t="str">
        <x:v>V08/V09; V10 cost concepts</x:v>
      </x:c>
      <x:c r="S13" s="84" t="n">
        <x:v>0.5</x:v>
      </x:c>
      <x:c r="T13" s="60" t="n">
        <x:f>M13+S13</x:f>
        <x:v>10.5</x:v>
      </x:c>
    </x:row>
    <x:row r="14" ht="72" customHeight="1">
      <x:c r="A14" s="60" t="n">
        <x:v>9</x:v>
      </x:c>
      <x:c r="B14" s="61" t="n">
        <x:f>'Start Here'!B6+(A14-1)*7</x:f>
        <x:v>46363</x:v>
      </x:c>
      <x:c r="C14" s="61" t="n">
        <x:f>B14+6</x:f>
        <x:v>46369</x:v>
      </x:c>
      <x:c r="D14" s="60" t="str">
        <x:v>Commercials and SOW</x:v>
      </x:c>
      <x:c r="E14" s="60" t="str">
        <x:v>P03; Delivery Dependencies</x:v>
      </x:c>
      <x:c r="F14" s="60" t="str">
        <x:v>Margin, attribution, customer duties and acceptance</x:v>
      </x:c>
      <x:c r="G14" s="60" t="str">
        <x:v>Integrated proposal/SOW outline</x:v>
      </x:c>
      <x:c r="H14" s="60" t="str">
        <x:v>Explain price, scope, exclusions and change triggers.</x:v>
      </x:c>
      <x:c r="I14" s="60" t="str">
        <x:v>Obtain delivery and Finance review; conditional funding only.</x:v>
      </x:c>
      <x:c r="J14" s="60" t="n">
        <x:v>0</x:v>
      </x:c>
      <x:c r="K14" s="60" t="n">
        <x:v>0</x:v>
      </x:c>
      <x:c r="L14" s="62" t="n">
        <x:v>10</x:v>
      </x:c>
      <x:c r="M14" s="60" t="n">
        <x:f>SUM(J14:L14)</x:f>
        <x:v>10</x:v>
      </x:c>
      <x:c r="N14" s="60" t="n">
        <x:f>COUNTIFS('Deal Practice'!B6:B9,A14,'Deal Practice'!I6:I9,"Completed")</x:f>
        <x:v>0</x:v>
      </x:c>
      <x:c r="O14" s="60" t="n">
        <x:f>COUNTIFS('Deal Practice'!B6:B9,A14)</x:f>
        <x:v>1</x:v>
      </x:c>
      <x:c r="P14" s="63" t="n">
        <x:f>N14/O14</x:f>
        <x:v>0</x:v>
      </x:c>
      <x:c r="Q14" s="60" t="str">
        <x:v>Integrated proposal/SOW outline</x:v>
      </x:c>
      <x:c r="R14" s="60" t="str">
        <x:v>V14: presenting and objections</x:v>
      </x:c>
      <x:c r="S14" s="84" t="n">
        <x:v>0.5</x:v>
      </x:c>
      <x:c r="T14" s="60" t="n">
        <x:f>M14+S14</x:f>
        <x:v>10.5</x:v>
      </x:c>
    </x:row>
    <x:row r="15" ht="72" customHeight="1">
      <x:c r="A15" s="60" t="n">
        <x:v>10</x:v>
      </x:c>
      <x:c r="B15" s="61" t="n">
        <x:f>'Start Here'!B6+(A15-1)*7</x:f>
        <x:v>46370</x:v>
      </x:c>
      <x:c r="C15" s="61" t="n">
        <x:f>B15+6</x:f>
        <x:v>46376</x:v>
      </x:c>
      <x:c r="D15" s="60" t="str">
        <x:v>Operations and defence</x:v>
      </x:c>
      <x:c r="E15" s="60" t="str">
        <x:v>P04; O03</x:v>
      </x:c>
      <x:c r="F15" s="60" t="str">
        <x:v>Support boundaries, recovery and launch evidence</x:v>
      </x:c>
      <x:c r="G15" s="60" t="str">
        <x:v>Operations offer + solution defence recording</x:v>
      </x:c>
      <x:c r="H15" s="60" t="str">
        <x:v>Defend support feasibility and recurring economics.</x:v>
      </x:c>
      <x:c r="I15" s="60" t="str">
        <x:v>Close review actions; record launch/refine/stop decision.</x:v>
      </x:c>
      <x:c r="J15" s="60" t="n">
        <x:v>0</x:v>
      </x:c>
      <x:c r="K15" s="60" t="n">
        <x:v>0</x:v>
      </x:c>
      <x:c r="L15" s="62" t="n">
        <x:v>10</x:v>
      </x:c>
      <x:c r="M15" s="60" t="n">
        <x:f>SUM(J15:L15)</x:f>
        <x:v>10</x:v>
      </x:c>
      <x:c r="N15" s="60" t="n">
        <x:f>COUNTIFS('Deal Practice'!B6:B9,A15,'Deal Practice'!I6:I9,"Completed")</x:f>
        <x:v>0</x:v>
      </x:c>
      <x:c r="O15" s="60" t="n">
        <x:f>COUNTIFS('Deal Practice'!B6:B9,A15)</x:f>
        <x:v>1</x:v>
      </x:c>
      <x:c r="P15" s="63" t="n">
        <x:f>N15/O15</x:f>
        <x:v>0</x:v>
      </x:c>
      <x:c r="Q15" s="60" t="str">
        <x:v>Operations offer + solution defence recording</x:v>
      </x:c>
      <x:c r="R15" s="60" t="str">
        <x:v>V14: delivery promises; revisit V08</x:v>
      </x:c>
      <x:c r="S15" s="84" t="n">
        <x:v>0.5</x:v>
      </x:c>
      <x:c r="T15" s="60" t="n">
        <x:f>M15+S15</x:f>
        <x:v>10.5</x:v>
      </x:c>
    </x:row>
  </x:sheetData>
  <x:pageMargins left="0.7" right="0.7" top="0.75" bottom="0.75" header="0.3" footer="0.3"/>
  <x:tableParts count="1">
    <x:tablePart xmlns:r="http://schemas.openxmlformats.org/officeDocument/2006/relationships" r:id="Rb1a7dd26c060487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" hidden="0" customWidth="1"/>
    <x:col min="2" max="2" width="7" hidden="0" customWidth="1"/>
    <x:col min="3" max="3" width="20" hidden="0" customWidth="1"/>
    <x:col min="4" max="4" width="48" hidden="0" customWidth="1"/>
    <x:col min="5" max="5" width="13" hidden="0" customWidth="1"/>
    <x:col min="6" max="6" width="46" hidden="0" customWidth="1"/>
    <x:col min="7" max="7" width="16" hidden="0" customWidth="1"/>
    <x:col min="8" max="8" width="13" hidden="0" customWidth="1"/>
    <x:col min="9" max="9" width="35" hidden="0" customWidth="1"/>
    <x:col min="10" max="10" width="60" hidden="0" customWidth="1"/>
    <x:col min="11" max="11" width="29" hidden="0" customWidth="1"/>
    <x:col min="12" max="12" width="42" hidden="0" customWidth="1"/>
    <x:col min="13" max="13" width="42" hidden="0" customWidth="1"/>
    <x:col min="14" max="14" width="4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2" t="str">
        <x:v>25 Microsoft Learn modules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6" customHeight="1">
      <x:c r="A5" s="19" t="str">
        <x:v>ID</x:v>
      </x:c>
      <x:c r="B5" s="19" t="str">
        <x:v>Week</x:v>
      </x:c>
      <x:c r="C5" s="19" t="str">
        <x:v>Track</x:v>
      </x:c>
      <x:c r="D5" s="19" t="str">
        <x:v>Official module</x:v>
      </x:c>
      <x:c r="E5" s="19" t="str">
        <x:v>Study hours*</x:v>
      </x:c>
      <x:c r="F5" s="19" t="str">
        <x:v>Learning outcome</x:v>
      </x:c>
      <x:c r="G5" s="19" t="str">
        <x:v>Status</x:v>
      </x:c>
      <x:c r="H5" s="19" t="str">
        <x:v>Actual hours</x:v>
      </x:c>
      <x:c r="I5" s="19" t="str">
        <x:v>Evidence / notes</x:v>
      </x:c>
      <x:c r="J5" s="19" t="str">
        <x:v>Official URL</x:v>
      </x:c>
      <x:c r="K5" s="19" t="str">
        <x:v>Verification</x:v>
      </x:c>
      <x:c r="L5" s="58" t="str">
        <x:v>Offer supported</x:v>
      </x:c>
      <x:c r="M5" s="58" t="str">
        <x:v>Asset / decision produced</x:v>
      </x:c>
      <x:c r="N5" s="58" t="str">
        <x:v>Ownership relevance</x:v>
      </x:c>
    </x:row>
    <x:row r="6" ht="48" customHeight="1">
      <x:c r="A6" s="20" t="str">
        <x:v>M01</x:v>
      </x:c>
      <x:c r="B6" s="20" t="n">
        <x:v>1</x:v>
      </x:c>
      <x:c r="C6" s="20" t="str">
        <x:v>Foundry</x:v>
      </x:c>
      <x:c r="D6" s="20" t="str">
        <x:v>Get started with generative AI and agents in Azure</x:v>
      </x:c>
      <x:c r="E6" s="20" t="n">
        <x:v>0.75</x:v>
      </x:c>
      <x:c r="F6" s="20" t="str">
        <x:v>Identify model, agent, tool and retrieval roles.</x:v>
      </x:c>
      <x:c r="G6" s="22" t="str">
        <x:v>Not started</x:v>
      </x:c>
      <x:c r="H6" s="22"/>
      <x:c r="I6" s="22"/>
      <x:c r="J6" s="59" t="str">
        <x:v>https://learn.microsoft.com/en-us/training/modules/get-started-with-generative-ai-and-agents/</x:v>
      </x:c>
      <x:c r="K6" s="20" t="str">
        <x:v>Located on Microsoft Learn, 10 Oct 2026</x:v>
      </x:c>
      <x:c r="L6" s="28" t="str">
        <x:v>O01/O02</x:v>
      </x:c>
      <x:c r="M6" s="28" t="str">
        <x:v>Runtime/service selection</x:v>
      </x:c>
      <x:c r="N6" s="28" t="str">
        <x:v>Infra platform decisions informed by specialist requirements</x:v>
      </x:c>
    </x:row>
    <x:row r="7" ht="48" customHeight="1">
      <x:c r="A7" s="20" t="str">
        <x:v>M02</x:v>
      </x:c>
      <x:c r="B7" s="20" t="n">
        <x:v>1</x:v>
      </x:c>
      <x:c r="C7" s="20" t="str">
        <x:v>Foundry</x:v>
      </x:c>
      <x:c r="D7" s="20" t="str">
        <x:v>Plan and prepare to develop AI solutions on Azure</x:v>
      </x:c>
      <x:c r="E7" s="20" t="n">
        <x:v>0.75</x:v>
      </x:c>
      <x:c r="F7" s="20" t="str">
        <x:v>Choose services, SDK and responsible AI controls.</x:v>
      </x:c>
      <x:c r="G7" s="22" t="str">
        <x:v>Not started</x:v>
      </x:c>
      <x:c r="H7" s="22"/>
      <x:c r="I7" s="22"/>
      <x:c r="J7" s="59" t="str">
        <x:v>https://learn.microsoft.com/en-us/training/modules/prepare-azure-ai-development/</x:v>
      </x:c>
      <x:c r="K7" s="20" t="str">
        <x:v>Located on Microsoft Learn, 10 Oct 2026</x:v>
      </x:c>
      <x:c r="L7" s="28" t="str">
        <x:v>O01/O02</x:v>
      </x:c>
      <x:c r="M7" s="28" t="str">
        <x:v>Runtime/service selection</x:v>
      </x:c>
      <x:c r="N7" s="28" t="str">
        <x:v>Infra platform decisions informed by specialist requirements</x:v>
      </x:c>
    </x:row>
    <x:row r="8" ht="48" customHeight="1">
      <x:c r="A8" s="20" t="str">
        <x:v>M03</x:v>
      </x:c>
      <x:c r="B8" s="20" t="n">
        <x:v>1</x:v>
      </x:c>
      <x:c r="C8" s="20" t="str">
        <x:v>Foundry</x:v>
      </x:c>
      <x:c r="D8" s="20" t="str">
        <x:v>Select, deploy, and evaluate Microsoft Foundry models</x:v>
      </x:c>
      <x:c r="E8" s="20" t="n">
        <x:v>1</x:v>
      </x:c>
      <x:c r="F8" s="20" t="str">
        <x:v>Compare quality, latency, safety and cost.</x:v>
      </x:c>
      <x:c r="G8" s="22" t="str">
        <x:v>Not started</x:v>
      </x:c>
      <x:c r="H8" s="22"/>
      <x:c r="I8" s="22"/>
      <x:c r="J8" s="59" t="str">
        <x:v>https://learn.microsoft.com/en-us/training/modules/model-catalog-evaluate/</x:v>
      </x:c>
      <x:c r="K8" s="20" t="str">
        <x:v>Located on Microsoft Learn, 10 Oct 2026</x:v>
      </x:c>
      <x:c r="L8" s="28" t="str">
        <x:v>O01/O02</x:v>
      </x:c>
      <x:c r="M8" s="28" t="str">
        <x:v>Runtime/service selection</x:v>
      </x:c>
      <x:c r="N8" s="28" t="str">
        <x:v>Infra platform decisions informed by specialist requirements</x:v>
      </x:c>
    </x:row>
    <x:row r="9" ht="48" customHeight="1">
      <x:c r="A9" s="20" t="str">
        <x:v>M04</x:v>
      </x:c>
      <x:c r="B9" s="20" t="n">
        <x:v>1</x:v>
      </x:c>
      <x:c r="C9" s="20" t="str">
        <x:v>Foundry</x:v>
      </x:c>
      <x:c r="D9" s="20" t="str">
        <x:v>Develop a generative AI chat app with Microsoft Foundry</x:v>
      </x:c>
      <x:c r="E9" s="20" t="n">
        <x:v>1</x:v>
      </x:c>
      <x:c r="F9" s="20" t="str">
        <x:v>Build an authenticated client with conversation history.</x:v>
      </x:c>
      <x:c r="G9" s="22" t="str">
        <x:v>Not started</x:v>
      </x:c>
      <x:c r="H9" s="22"/>
      <x:c r="I9" s="22"/>
      <x:c r="J9" s="59" t="str">
        <x:v>https://learn.microsoft.com/en-us/training/modules/foundry-sdk/</x:v>
      </x:c>
      <x:c r="K9" s="20" t="str">
        <x:v>Located on Microsoft Learn, 10 Oct 2026</x:v>
      </x:c>
      <x:c r="L9" s="28" t="str">
        <x:v>O01/O02</x:v>
      </x:c>
      <x:c r="M9" s="28" t="str">
        <x:v>Runtime/service selection</x:v>
      </x:c>
      <x:c r="N9" s="28" t="str">
        <x:v>Infra platform decisions informed by specialist requirements</x:v>
      </x:c>
    </x:row>
    <x:row r="10" ht="48" customHeight="1">
      <x:c r="A10" s="20" t="str">
        <x:v>M05</x:v>
      </x:c>
      <x:c r="B10" s="20" t="n">
        <x:v>2</x:v>
      </x:c>
      <x:c r="C10" s="20" t="str">
        <x:v>RAG</x:v>
      </x:c>
      <x:c r="D10" s="20" t="str">
        <x:v>Introduction to retrieval-augmented generation concepts</x:v>
      </x:c>
      <x:c r="E10" s="20" t="n">
        <x:v>0.5</x:v>
      </x:c>
      <x:c r="F10" s="20" t="str">
        <x:v>Explain chunking, retrieval and grounded answers.</x:v>
      </x:c>
      <x:c r="G10" s="22" t="str">
        <x:v>Not started</x:v>
      </x:c>
      <x:c r="H10" s="22"/>
      <x:c r="I10" s="22"/>
      <x:c r="J10" s="59" t="str">
        <x:v>https://learn.microsoft.com/en-us/training/modules/rag-fundamentals/</x:v>
      </x:c>
      <x:c r="K10" s="20" t="str">
        <x:v>Located on Microsoft Learn, 10 Oct 2026</x:v>
      </x:c>
      <x:c r="L10" s="28" t="str">
        <x:v>O01/O02</x:v>
      </x:c>
      <x:c r="M10" s="28" t="str">
        <x:v>Representative workload and evaluation</x:v>
      </x:c>
      <x:c r="N10" s="28" t="str">
        <x:v>Infra platform decisions informed by specialist requirements</x:v>
      </x:c>
    </x:row>
    <x:row r="11" ht="48" customHeight="1">
      <x:c r="A11" s="20" t="str">
        <x:v>M06</x:v>
      </x:c>
      <x:c r="B11" s="20" t="n">
        <x:v>2</x:v>
      </x:c>
      <x:c r="C11" s="20" t="str">
        <x:v>Foundry</x:v>
      </x:c>
      <x:c r="D11" s="20" t="str">
        <x:v>Develop your first agent with Microsoft Foundry</x:v>
      </x:c>
      <x:c r="E11" s="20" t="n">
        <x:v>0.75</x:v>
      </x:c>
      <x:c r="F11" s="20" t="str">
        <x:v>Configure instructions, tools and test cases.</x:v>
      </x:c>
      <x:c r="G11" s="22" t="str">
        <x:v>Not started</x:v>
      </x:c>
      <x:c r="H11" s="22"/>
      <x:c r="I11" s="22"/>
      <x:c r="J11" s="59" t="str">
        <x:v>https://learn.microsoft.com/en-us/training/modules/develop-first-agent/</x:v>
      </x:c>
      <x:c r="K11" s="20" t="str">
        <x:v>Located on Microsoft Learn, 10 Oct 2026</x:v>
      </x:c>
      <x:c r="L11" s="28" t="str">
        <x:v>O01/O02</x:v>
      </x:c>
      <x:c r="M11" s="28" t="str">
        <x:v>Representative workload and evaluation</x:v>
      </x:c>
      <x:c r="N11" s="28" t="str">
        <x:v>Infra platform decisions informed by specialist requirements</x:v>
      </x:c>
    </x:row>
    <x:row r="12" ht="48" customHeight="1">
      <x:c r="A12" s="20" t="str">
        <x:v>M07</x:v>
      </x:c>
      <x:c r="B12" s="20" t="n">
        <x:v>2</x:v>
      </x:c>
      <x:c r="C12" s="20" t="str">
        <x:v>Foundry</x:v>
      </x:c>
      <x:c r="D12" s="20" t="str">
        <x:v>Develop AI agents with Microsoft Foundry and Visual Studio Code</x:v>
      </x:c>
      <x:c r="E12" s="20" t="n">
        <x:v>1</x:v>
      </x:c>
      <x:c r="F12" s="20" t="str">
        <x:v>Build and test from the development environment.</x:v>
      </x:c>
      <x:c r="G12" s="22" t="str">
        <x:v>Not started</x:v>
      </x:c>
      <x:c r="H12" s="22"/>
      <x:c r="I12" s="22"/>
      <x:c r="J12" s="59" t="str">
        <x:v>https://learn.microsoft.com/en-us/training/modules/develop-ai-agents-azure-vs-code/</x:v>
      </x:c>
      <x:c r="K12" s="20" t="str">
        <x:v>Located on Microsoft Learn, 10 Oct 2026</x:v>
      </x:c>
      <x:c r="L12" s="28" t="str">
        <x:v>O01/O02</x:v>
      </x:c>
      <x:c r="M12" s="28" t="str">
        <x:v>Representative workload and evaluation</x:v>
      </x:c>
      <x:c r="N12" s="28" t="str">
        <x:v>Infra platform decisions informed by specialist requirements</x:v>
      </x:c>
    </x:row>
    <x:row r="13" ht="48" customHeight="1">
      <x:c r="A13" s="20" t="str">
        <x:v>M08</x:v>
      </x:c>
      <x:c r="B13" s="20" t="n">
        <x:v>2</x:v>
      </x:c>
      <x:c r="C13" s="20" t="str">
        <x:v>Foundry</x:v>
      </x:c>
      <x:c r="D13" s="20" t="str">
        <x:v>Optimize generative AI model performance with Microsoft Foundry</x:v>
      </x:c>
      <x:c r="E13" s="20" t="n">
        <x:v>0.75</x:v>
      </x:c>
      <x:c r="F13" s="20" t="str">
        <x:v>Choose grounding before fine tuning where appropriate.</x:v>
      </x:c>
      <x:c r="G13" s="22" t="str">
        <x:v>Not started</x:v>
      </x:c>
      <x:c r="H13" s="22"/>
      <x:c r="I13" s="22"/>
      <x:c r="J13" s="59" t="str">
        <x:v>https://learn.microsoft.com/en-us/training/modules/optimize-generative-ai-model-performance/</x:v>
      </x:c>
      <x:c r="K13" s="20" t="str">
        <x:v>Located on Microsoft Learn, 10 Oct 2026</x:v>
      </x:c>
      <x:c r="L13" s="28" t="str">
        <x:v>O01/O02</x:v>
      </x:c>
      <x:c r="M13" s="28" t="str">
        <x:v>Representative workload and evaluation</x:v>
      </x:c>
      <x:c r="N13" s="28" t="str">
        <x:v>Infra platform decisions informed by specialist requirements</x:v>
      </x:c>
    </x:row>
    <x:row r="14" ht="48" customHeight="1">
      <x:c r="A14" s="20" t="str">
        <x:v>M09</x:v>
      </x:c>
      <x:c r="B14" s="20" t="n">
        <x:v>3</x:v>
      </x:c>
      <x:c r="C14" s="20" t="str">
        <x:v>Copilot Studio</x:v>
      </x:c>
      <x:c r="D14" s="20" t="str">
        <x:v>Get started with Microsoft Copilot Studio</x:v>
      </x:c>
      <x:c r="E14" s="20" t="n">
        <x:v>0.75</x:v>
      </x:c>
      <x:c r="F14" s="20" t="str">
        <x:v>Understand environments, authoring and publishing.</x:v>
      </x:c>
      <x:c r="G14" s="22" t="str">
        <x:v>Not started</x:v>
      </x:c>
      <x:c r="H14" s="22"/>
      <x:c r="I14" s="22"/>
      <x:c r="J14" s="59" t="str">
        <x:v>https://learn.microsoft.com/en-us/training/modules/power-virtual-agents-bots/</x:v>
      </x:c>
      <x:c r="K14" s="20" t="str">
        <x:v>Located on Microsoft Learn, 10 Oct 2026</x:v>
      </x:c>
      <x:c r="L14" s="28" t="str">
        <x:v>O01/O02</x:v>
      </x:c>
      <x:c r="M14" s="28" t="str">
        <x:v>Connector/action dependency definition</x:v>
      </x:c>
      <x:c r="N14" s="28" t="str">
        <x:v>Specialist literacy; SaaS/agent owner validates scope</x:v>
      </x:c>
    </x:row>
    <x:row r="15" ht="48" customHeight="1">
      <x:c r="A15" s="20" t="str">
        <x:v>M10</x:v>
      </x:c>
      <x:c r="B15" s="20" t="n">
        <x:v>3</x:v>
      </x:c>
      <x:c r="C15" s="20" t="str">
        <x:v>Copilot Studio</x:v>
      </x:c>
      <x:c r="D15" s="20" t="str">
        <x:v>Design agent conversations using topics</x:v>
      </x:c>
      <x:c r="E15" s="20" t="n">
        <x:v>0.75</x:v>
      </x:c>
      <x:c r="F15" s="20" t="str">
        <x:v>Define deterministic paths and fallback.</x:v>
      </x:c>
      <x:c r="G15" s="22" t="str">
        <x:v>Not started</x:v>
      </x:c>
      <x:c r="H15" s="22"/>
      <x:c r="I15" s="22"/>
      <x:c r="J15" s="59" t="str">
        <x:v>https://learn.microsoft.com/en-us/training/modules/copilot-studio-topics/</x:v>
      </x:c>
      <x:c r="K15" s="20" t="str">
        <x:v>Located on Microsoft Learn, 10 Oct 2026</x:v>
      </x:c>
      <x:c r="L15" s="28" t="str">
        <x:v>O01/O02</x:v>
      </x:c>
      <x:c r="M15" s="28" t="str">
        <x:v>Connector/action dependency definition</x:v>
      </x:c>
      <x:c r="N15" s="28" t="str">
        <x:v>Specialist literacy; SaaS/agent owner validates scope</x:v>
      </x:c>
    </x:row>
    <x:row r="16" ht="48" customHeight="1">
      <x:c r="A16" s="20" t="str">
        <x:v>M11</x:v>
      </x:c>
      <x:c r="B16" s="20" t="n">
        <x:v>3</x:v>
      </x:c>
      <x:c r="C16" s="20" t="str">
        <x:v>Copilot Studio</x:v>
      </x:c>
      <x:c r="D16" s="20" t="str">
        <x:v>Build intelligent agents in Microsoft Copilot Studio</x:v>
      </x:c>
      <x:c r="E16" s="20" t="n">
        <x:v>0.75</x:v>
      </x:c>
      <x:c r="F16" s="20" t="str">
        <x:v>Configure knowledge and test grounded responses.</x:v>
      </x:c>
      <x:c r="G16" s="22" t="str">
        <x:v>Not started</x:v>
      </x:c>
      <x:c r="H16" s="22"/>
      <x:c r="I16" s="22"/>
      <x:c r="J16" s="59" t="str">
        <x:v>https://learn.microsoft.com/en-us/training/modules/copilot-studio-knowledge/</x:v>
      </x:c>
      <x:c r="K16" s="20" t="str">
        <x:v>Located on Microsoft Learn, 10 Oct 2026</x:v>
      </x:c>
      <x:c r="L16" s="28" t="str">
        <x:v>O01/O02</x:v>
      </x:c>
      <x:c r="M16" s="28" t="str">
        <x:v>Connector/action dependency definition</x:v>
      </x:c>
      <x:c r="N16" s="28" t="str">
        <x:v>Specialist literacy; SaaS/agent owner validates scope</x:v>
      </x:c>
    </x:row>
    <x:row r="17" ht="48" customHeight="1">
      <x:c r="A17" s="20" t="str">
        <x:v>M12</x:v>
      </x:c>
      <x:c r="B17" s="20" t="n">
        <x:v>3</x:v>
      </x:c>
      <x:c r="C17" s="20" t="str">
        <x:v>Copilot Studio</x:v>
      </x:c>
      <x:c r="D17" s="20" t="str">
        <x:v>Add structured automation to agents in Microsoft Copilot Studio</x:v>
      </x:c>
      <x:c r="E17" s="20" t="n">
        <x:v>0.75</x:v>
      </x:c>
      <x:c r="F17" s="20" t="str">
        <x:v>Add a workflow with explicit inputs and outputs.</x:v>
      </x:c>
      <x:c r="G17" s="22" t="str">
        <x:v>Not started</x:v>
      </x:c>
      <x:c r="H17" s="22"/>
      <x:c r="I17" s="22"/>
      <x:c r="J17" s="59" t="str">
        <x:v>https://learn.microsoft.com/en-us/training/modules/copilot-studio-structured-automation/</x:v>
      </x:c>
      <x:c r="K17" s="20" t="str">
        <x:v>Located on Microsoft Learn, 10 Oct 2026</x:v>
      </x:c>
      <x:c r="L17" s="28" t="str">
        <x:v>O01/O02</x:v>
      </x:c>
      <x:c r="M17" s="28" t="str">
        <x:v>Connector/action dependency definition</x:v>
      </x:c>
      <x:c r="N17" s="28" t="str">
        <x:v>Specialist literacy; SaaS/agent owner validates scope</x:v>
      </x:c>
    </x:row>
    <x:row r="18" ht="48" customHeight="1">
      <x:c r="A18" s="20" t="str">
        <x:v>M13</x:v>
      </x:c>
      <x:c r="B18" s="20" t="n">
        <x:v>4</x:v>
      </x:c>
      <x:c r="C18" s="20" t="str">
        <x:v>M365 Copilot</x:v>
      </x:c>
      <x:c r="D18" s="20" t="str">
        <x:v>Choose the best Microsoft 365 Copilot extensibility path for your scenario</x:v>
      </x:c>
      <x:c r="E18" s="20" t="n">
        <x:v>0.75</x:v>
      </x:c>
      <x:c r="F18" s="20" t="str">
        <x:v>Defend declarative versus custom agent choices.</x:v>
      </x:c>
      <x:c r="G18" s="22" t="str">
        <x:v>Not started</x:v>
      </x:c>
      <x:c r="H18" s="22"/>
      <x:c r="I18" s="22"/>
      <x:c r="J18" s="59" t="str">
        <x:v>https://learn.microsoft.com/en-us/training/modules/choose-microsoft-365-copilot-extensibility-path/</x:v>
      </x:c>
      <x:c r="K18" s="20" t="str">
        <x:v>Located on Microsoft Learn, 10 Oct 2026</x:v>
      </x:c>
      <x:c r="L18" s="28" t="str">
        <x:v>O02 specialist expansion</x:v>
      </x:c>
      <x:c r="M18" s="28" t="str">
        <x:v>M365/Studio scope and product selection</x:v>
      </x:c>
      <x:c r="N18" s="28" t="str">
        <x:v>Specialist literacy; SaaS/agent owner validates scope</x:v>
      </x:c>
    </x:row>
    <x:row r="19" ht="48" customHeight="1">
      <x:c r="A19" s="20" t="str">
        <x:v>M14</x:v>
      </x:c>
      <x:c r="B19" s="20" t="n">
        <x:v>4</x:v>
      </x:c>
      <x:c r="C19" s="20" t="str">
        <x:v>M365 Copilot</x:v>
      </x:c>
      <x:c r="D19" s="20" t="str">
        <x:v>Manage Microsoft 365 Copilot extensibility</x:v>
      </x:c>
      <x:c r="E19" s="20" t="n">
        <x:v>0.5</x:v>
      </x:c>
      <x:c r="F19" s="20" t="str">
        <x:v>Identify administrative and connector responsibilities.</x:v>
      </x:c>
      <x:c r="G19" s="22" t="str">
        <x:v>Not started</x:v>
      </x:c>
      <x:c r="H19" s="22"/>
      <x:c r="I19" s="22"/>
      <x:c r="J19" s="59" t="str">
        <x:v>https://learn.microsoft.com/en-us/training/modules/manage-microsoft-365-copilot-extensibility/</x:v>
      </x:c>
      <x:c r="K19" s="20" t="str">
        <x:v>Located on Microsoft Learn, 10 Oct 2026</x:v>
      </x:c>
      <x:c r="L19" s="28" t="str">
        <x:v>O02 specialist expansion</x:v>
      </x:c>
      <x:c r="M19" s="28" t="str">
        <x:v>M365/Studio scope and product selection</x:v>
      </x:c>
      <x:c r="N19" s="28" t="str">
        <x:v>Specialist literacy; SaaS/agent owner validates scope</x:v>
      </x:c>
    </x:row>
    <x:row r="20" ht="48" customHeight="1">
      <x:c r="A20" s="20" t="str">
        <x:v>M15</x:v>
      </x:c>
      <x:c r="B20" s="20" t="n">
        <x:v>4</x:v>
      </x:c>
      <x:c r="C20" s="20" t="str">
        <x:v>M365 Copilot</x:v>
      </x:c>
      <x:c r="D20" s="20" t="str">
        <x:v>Introduction to declarative agents for Microsoft 365 Copilot</x:v>
      </x:c>
      <x:c r="E20" s="20" t="n">
        <x:v>0.5</x:v>
      </x:c>
      <x:c r="F20" s="20" t="str">
        <x:v>Separate instructions, knowledge and actions.</x:v>
      </x:c>
      <x:c r="G20" s="22" t="str">
        <x:v>Not started</x:v>
      </x:c>
      <x:c r="H20" s="22"/>
      <x:c r="I20" s="22"/>
      <x:c r="J20" s="59" t="str">
        <x:v>https://learn.microsoft.com/en-us/training/modules/copilot-declarative-agent-intro/</x:v>
      </x:c>
      <x:c r="K20" s="20" t="str">
        <x:v>Located on Microsoft Learn, 10 Oct 2026</x:v>
      </x:c>
      <x:c r="L20" s="28" t="str">
        <x:v>O02 specialist expansion</x:v>
      </x:c>
      <x:c r="M20" s="28" t="str">
        <x:v>M365/Studio scope and product selection</x:v>
      </x:c>
      <x:c r="N20" s="28" t="str">
        <x:v>Specialist literacy; SaaS/agent owner validates scope</x:v>
      </x:c>
    </x:row>
    <x:row r="21" ht="48" customHeight="1">
      <x:c r="A21" s="20" t="str">
        <x:v>M16</x:v>
      </x:c>
      <x:c r="B21" s="20" t="n">
        <x:v>4</x:v>
      </x:c>
      <x:c r="C21" s="20" t="str">
        <x:v>M365 Copilot</x:v>
      </x:c>
      <x:c r="D21" s="20" t="str">
        <x:v>Build your first declarative agent for Microsoft Copilot by using Copilot Studio</x:v>
      </x:c>
      <x:c r="E21" s="20" t="n">
        <x:v>0.75</x:v>
      </x:c>
      <x:c r="F21" s="20" t="str">
        <x:v>Create a focused agent and test permissions.</x:v>
      </x:c>
      <x:c r="G21" s="22" t="str">
        <x:v>Not started</x:v>
      </x:c>
      <x:c r="H21" s="22"/>
      <x:c r="I21" s="22"/>
      <x:c r="J21" s="59" t="str">
        <x:v>https://learn.microsoft.com/en-us/training/modules/build-your-first-agent-microsoft-365-copilot-use-copilot-studio/</x:v>
      </x:c>
      <x:c r="K21" s="20" t="str">
        <x:v>Located on Microsoft Learn, 10 Oct 2026</x:v>
      </x:c>
      <x:c r="L21" s="28" t="str">
        <x:v>O02 specialist expansion</x:v>
      </x:c>
      <x:c r="M21" s="28" t="str">
        <x:v>M365/Studio scope and product selection</x:v>
      </x:c>
      <x:c r="N21" s="28" t="str">
        <x:v>Specialist literacy; SaaS/agent owner validates scope</x:v>
      </x:c>
    </x:row>
    <x:row r="22" ht="48" customHeight="1">
      <x:c r="A22" s="20" t="str">
        <x:v>M17</x:v>
      </x:c>
      <x:c r="B22" s="20" t="n">
        <x:v>4</x:v>
      </x:c>
      <x:c r="C22" s="20" t="str">
        <x:v>M365 Copilot</x:v>
      </x:c>
      <x:c r="D22" s="20" t="str">
        <x:v>Introduction to tools for declarative agents in Copilot Studio</x:v>
      </x:c>
      <x:c r="E22" s="20" t="n">
        <x:v>0.5</x:v>
      </x:c>
      <x:c r="F22" s="20" t="str">
        <x:v>Identify external system integration boundaries.</x:v>
      </x:c>
      <x:c r="G22" s="22" t="str">
        <x:v>Not started</x:v>
      </x:c>
      <x:c r="H22" s="22"/>
      <x:c r="I22" s="22"/>
      <x:c r="J22" s="59" t="str">
        <x:v>https://learn.microsoft.com/en-us/training/modules/introduction-copilot-studio-actions/</x:v>
      </x:c>
      <x:c r="K22" s="20" t="str">
        <x:v>Located on Microsoft Learn, 10 Oct 2026</x:v>
      </x:c>
      <x:c r="L22" s="28" t="str">
        <x:v>O02 specialist expansion</x:v>
      </x:c>
      <x:c r="M22" s="28" t="str">
        <x:v>M365/Studio scope and product selection</x:v>
      </x:c>
      <x:c r="N22" s="28" t="str">
        <x:v>Specialist literacy; SaaS/agent owner validates scope</x:v>
      </x:c>
    </x:row>
    <x:row r="23" ht="48" customHeight="1">
      <x:c r="A23" s="20" t="str">
        <x:v>M18</x:v>
      </x:c>
      <x:c r="B23" s="20" t="n">
        <x:v>4</x:v>
      </x:c>
      <x:c r="C23" s="20" t="str">
        <x:v>M365 Copilot</x:v>
      </x:c>
      <x:c r="D23" s="20" t="str">
        <x:v>Extend declarative agents with prompt tools in Copilot Studio</x:v>
      </x:c>
      <x:c r="E23" s="20" t="n">
        <x:v>0.5</x:v>
      </x:c>
      <x:c r="F23" s="20" t="str">
        <x:v>Test structured prompts against a fixed dataset.</x:v>
      </x:c>
      <x:c r="G23" s="22" t="str">
        <x:v>Not started</x:v>
      </x:c>
      <x:c r="H23" s="22"/>
      <x:c r="I23" s="22"/>
      <x:c r="J23" s="59" t="str">
        <x:v>https://learn.microsoft.com/en-us/training/modules/extend-declarative-agents-prompt-actions-copilot-studio/</x:v>
      </x:c>
      <x:c r="K23" s="20" t="str">
        <x:v>Located on Microsoft Learn, 10 Oct 2026</x:v>
      </x:c>
      <x:c r="L23" s="28" t="str">
        <x:v>O02 specialist expansion</x:v>
      </x:c>
      <x:c r="M23" s="28" t="str">
        <x:v>M365/Studio scope and product selection</x:v>
      </x:c>
      <x:c r="N23" s="28" t="str">
        <x:v>Specialist literacy; SaaS/agent owner validates scope</x:v>
      </x:c>
    </x:row>
    <x:row r="24" ht="48" customHeight="1">
      <x:c r="A24" s="20" t="str">
        <x:v>M19</x:v>
      </x:c>
      <x:c r="B24" s="20" t="n">
        <x:v>4</x:v>
      </x:c>
      <x:c r="C24" s="20" t="str">
        <x:v>M365 Copilot</x:v>
      </x:c>
      <x:c r="D24" s="20" t="str">
        <x:v>Extend declarative agents with connector tools in Copilot Studio</x:v>
      </x:c>
      <x:c r="E24" s="20" t="n">
        <x:v>0.75</x:v>
      </x:c>
      <x:c r="F24" s="20" t="str">
        <x:v>Demonstrate an approved connector action.</x:v>
      </x:c>
      <x:c r="G24" s="22" t="str">
        <x:v>Not started</x:v>
      </x:c>
      <x:c r="H24" s="22"/>
      <x:c r="I24" s="22"/>
      <x:c r="J24" s="59" t="str">
        <x:v>https://learn.microsoft.com/en-us/training/modules/extend-declarative-agents-connector-actions-copilot-studio/</x:v>
      </x:c>
      <x:c r="K24" s="20" t="str">
        <x:v>Located on Microsoft Learn, 10 Oct 2026</x:v>
      </x:c>
      <x:c r="L24" s="28" t="str">
        <x:v>O02 specialist expansion</x:v>
      </x:c>
      <x:c r="M24" s="28" t="str">
        <x:v>M365/Studio scope and product selection</x:v>
      </x:c>
      <x:c r="N24" s="28" t="str">
        <x:v>Specialist literacy; SaaS/agent owner validates scope</x:v>
      </x:c>
    </x:row>
    <x:row r="25" ht="48" customHeight="1">
      <x:c r="A25" s="20" t="str">
        <x:v>M20</x:v>
      </x:c>
      <x:c r="B25" s="20" t="n">
        <x:v>5</x:v>
      </x:c>
      <x:c r="C25" s="20" t="str">
        <x:v>Agent Framework</x:v>
      </x:c>
      <x:c r="D25" s="20" t="str">
        <x:v>Develop an AI agent with Microsoft Agent Framework</x:v>
      </x:c>
      <x:c r="E25" s="20" t="n">
        <x:v>0.75</x:v>
      </x:c>
      <x:c r="F25" s="20" t="str">
        <x:v>Implement an agent with a controlled tool.</x:v>
      </x:c>
      <x:c r="G25" s="22" t="str">
        <x:v>Not started</x:v>
      </x:c>
      <x:c r="H25" s="22"/>
      <x:c r="I25" s="22"/>
      <x:c r="J25" s="59" t="str">
        <x:v>https://learn.microsoft.com/en-us/training/modules/develop-ai-agent-with-semantic-kernel/</x:v>
      </x:c>
      <x:c r="K25" s="20" t="str">
        <x:v>Located on Microsoft Learn, 10 Oct 2026</x:v>
      </x:c>
      <x:c r="L25" s="28" t="str">
        <x:v>O01/O02</x:v>
      </x:c>
      <x:c r="M25" s="28" t="str">
        <x:v>Tool/API ownership and failure boundaries</x:v>
      </x:c>
      <x:c r="N25" s="28" t="str">
        <x:v>Infra platform decisions informed by specialist requirements</x:v>
      </x:c>
    </x:row>
    <x:row r="26" ht="48" customHeight="1">
      <x:c r="A26" s="20" t="str">
        <x:v>M21</x:v>
      </x:c>
      <x:c r="B26" s="20" t="n">
        <x:v>5</x:v>
      </x:c>
      <x:c r="C26" s="20" t="str">
        <x:v>MCP</x:v>
      </x:c>
      <x:c r="D26" s="20" t="str">
        <x:v>Integrate MCP tools with Azure AI agents</x:v>
      </x:c>
      <x:c r="E26" s="20" t="n">
        <x:v>0.75</x:v>
      </x:c>
      <x:c r="F26" s="20" t="str">
        <x:v>Authorize and test an MCP tool call.</x:v>
      </x:c>
      <x:c r="G26" s="22" t="str">
        <x:v>Not started</x:v>
      </x:c>
      <x:c r="H26" s="22"/>
      <x:c r="I26" s="22"/>
      <x:c r="J26" s="59" t="str">
        <x:v>https://learn.microsoft.com/en-us/training/modules/connect-agent-to-mcp-tools/</x:v>
      </x:c>
      <x:c r="K26" s="20" t="str">
        <x:v>Located on Microsoft Learn, 10 Oct 2026</x:v>
      </x:c>
      <x:c r="L26" s="28" t="str">
        <x:v>O01/O02</x:v>
      </x:c>
      <x:c r="M26" s="28" t="str">
        <x:v>Tool/API ownership and failure boundaries</x:v>
      </x:c>
      <x:c r="N26" s="28" t="str">
        <x:v>Infra platform decisions informed by specialist requirements</x:v>
      </x:c>
    </x:row>
    <x:row r="27" ht="48" customHeight="1">
      <x:c r="A27" s="20" t="str">
        <x:v>M22</x:v>
      </x:c>
      <x:c r="B27" s="20" t="n">
        <x:v>5</x:v>
      </x:c>
      <x:c r="C27" s="20" t="str">
        <x:v>Foundry</x:v>
      </x:c>
      <x:c r="D27" s="20" t="str">
        <x:v>Build and extend AI agents with Microsoft Foundry</x:v>
      </x:c>
      <x:c r="E27" s="20" t="n">
        <x:v>0.75</x:v>
      </x:c>
      <x:c r="F27" s="20" t="str">
        <x:v>Compare function, OpenAPI and MCP tools.</x:v>
      </x:c>
      <x:c r="G27" s="22" t="str">
        <x:v>Not started</x:v>
      </x:c>
      <x:c r="H27" s="22"/>
      <x:c r="I27" s="22"/>
      <x:c r="J27" s="59" t="str">
        <x:v>https://learn.microsoft.com/en-us/training/modules/build-extend-ai-agents/</x:v>
      </x:c>
      <x:c r="K27" s="20" t="str">
        <x:v>Located on Microsoft Learn, 10 Oct 2026</x:v>
      </x:c>
      <x:c r="L27" s="28" t="str">
        <x:v>O01/O02</x:v>
      </x:c>
      <x:c r="M27" s="28" t="str">
        <x:v>Tool/API ownership and failure boundaries</x:v>
      </x:c>
      <x:c r="N27" s="28" t="str">
        <x:v>Infra platform decisions informed by specialist requirements</x:v>
      </x:c>
    </x:row>
    <x:row r="28" ht="48" customHeight="1">
      <x:c r="A28" s="20" t="str">
        <x:v>M23</x:v>
      </x:c>
      <x:c r="B28" s="20" t="n">
        <x:v>6</x:v>
      </x:c>
      <x:c r="C28" s="20" t="str">
        <x:v>Security</x:v>
      </x:c>
      <x:c r="D28" s="20" t="str">
        <x:v>Examine data security and compliance in Microsoft 365 Copilot</x:v>
      </x:c>
      <x:c r="E28" s="20" t="n">
        <x:v>0.75</x:v>
      </x:c>
      <x:c r="F28" s="20" t="str">
        <x:v>Explain permissions, residency and oversharing risk.</x:v>
      </x:c>
      <x:c r="G28" s="22" t="str">
        <x:v>Not started</x:v>
      </x:c>
      <x:c r="H28" s="22"/>
      <x:c r="I28" s="22"/>
      <x:c r="J28" s="59" t="str">
        <x:v>https://learn.microsoft.com/en-us/training/modules/examine-data-security-microsoft-365-copilot/</x:v>
      </x:c>
      <x:c r="K28" s="20" t="str">
        <x:v>Located on Microsoft Learn, 10 Oct 2026</x:v>
      </x:c>
      <x:c r="L28" s="28" t="str">
        <x:v>O02/O03</x:v>
      </x:c>
      <x:c r="M28" s="28" t="str">
        <x:v>Security, operations and acceptance evidence</x:v>
      </x:c>
      <x:c r="N28" s="28" t="str">
        <x:v>Infra platform decisions informed by specialist requirements</x:v>
      </x:c>
    </x:row>
    <x:row r="29" ht="48" customHeight="1">
      <x:c r="A29" s="20" t="str">
        <x:v>M24</x:v>
      </x:c>
      <x:c r="B29" s="20" t="n">
        <x:v>6</x:v>
      </x:c>
      <x:c r="C29" s="20" t="str">
        <x:v>Governance</x:v>
      </x:c>
      <x:c r="D29" s="20" t="str">
        <x:v>Manage Microsoft 365 Copilot</x:v>
      </x:c>
      <x:c r="E29" s="20" t="n">
        <x:v>0.75</x:v>
      </x:c>
      <x:c r="F29" s="20" t="str">
        <x:v>Define administration and governance ownership.</x:v>
      </x:c>
      <x:c r="G29" s="22" t="str">
        <x:v>Not started</x:v>
      </x:c>
      <x:c r="H29" s="22"/>
      <x:c r="I29" s="22"/>
      <x:c r="J29" s="59" t="str">
        <x:v>https://learn.microsoft.com/en-us/training/modules/manage-microsoft-365-copilot/</x:v>
      </x:c>
      <x:c r="K29" s="20" t="str">
        <x:v>Located on Microsoft Learn, 10 Oct 2026</x:v>
      </x:c>
      <x:c r="L29" s="28" t="str">
        <x:v>O02/O03</x:v>
      </x:c>
      <x:c r="M29" s="28" t="str">
        <x:v>Security, operations and acceptance evidence</x:v>
      </x:c>
      <x:c r="N29" s="28" t="str">
        <x:v>Infra platform decisions informed by specialist requirements</x:v>
      </x:c>
    </x:row>
    <x:row r="30" ht="48" customHeight="1">
      <x:c r="A30" s="20" t="str">
        <x:v>M25</x:v>
      </x:c>
      <x:c r="B30" s="20" t="n">
        <x:v>6</x:v>
      </x:c>
      <x:c r="C30" s="20" t="str">
        <x:v>Responsible AI</x:v>
      </x:c>
      <x:c r="D30" s="20" t="str">
        <x:v>Scale Responsible AI Governance with Azure AI Content Safety and Microsoft Foundry</x:v>
      </x:c>
      <x:c r="E30" s="20" t="n">
        <x:v>0.75</x:v>
      </x:c>
      <x:c r="F30" s="20" t="str">
        <x:v>Document safety tests and escalation controls.</x:v>
      </x:c>
      <x:c r="G30" s="22" t="str">
        <x:v>Not started</x:v>
      </x:c>
      <x:c r="H30" s="22"/>
      <x:c r="I30" s="22"/>
      <x:c r="J30" s="59" t="str">
        <x:v>https://learn.microsoft.com/en-us/training/modules/aaai-scale-responsible-ai-governance-multi-agent/</x:v>
      </x:c>
      <x:c r="K30" s="20" t="str">
        <x:v>Located on Microsoft Learn, 10 Oct 2026</x:v>
      </x:c>
      <x:c r="L30" s="28" t="str">
        <x:v>O02/O03</x:v>
      </x:c>
      <x:c r="M30" s="28" t="str">
        <x:v>Security, operations and acceptance evidence</x:v>
      </x:c>
      <x:c r="N30" s="28" t="str">
        <x:v>Infra platform decisions informed by specialist requirements</x:v>
      </x:c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</x:sheetData>
  <x:conditionalFormatting sqref="G6:G30">
    <x:cfRule type="containsText" dxfId="0" priority="1" operator="containsText" text="Completed"/>
    <x:cfRule type="containsText" dxfId="1" priority="2" operator="containsText" text="Blocked"/>
  </x:conditionalFormatting>
  <x:dataValidations count="1">
    <x:dataValidation type="list" sqref="G6:G30">
      <x:formula1>"Not started,In progress,Blocked,Completed"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950fcc512364d3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" hidden="0" customWidth="1"/>
    <x:col min="2" max="2" width="7" hidden="0" customWidth="1"/>
    <x:col min="3" max="3" width="30" hidden="0" customWidth="1"/>
    <x:col min="4" max="4" width="57" hidden="0" customWidth="1"/>
    <x:col min="5" max="5" width="50" hidden="0" customWidth="1"/>
    <x:col min="6" max="6" width="12" hidden="0" customWidth="1"/>
    <x:col min="7" max="7" width="45" hidden="0" customWidth="1"/>
    <x:col min="8" max="8" width="55" hidden="0" customWidth="1"/>
    <x:col min="9" max="9" width="16" hidden="0" customWidth="1"/>
    <x:col min="10" max="10" width="13" hidden="0" customWidth="1"/>
    <x:col min="11" max="11" width="35" hidden="0" customWidth="1"/>
    <x:col min="12" max="12" width="45" hidden="0" customWidth="1"/>
    <x:col min="13" max="13" width="45" hidden="0" customWidth="1"/>
    <x:col min="14" max="14" width="45" hidden="0" customWidth="1"/>
    <x:col min="15" max="15" width="45" hidden="0" customWidth="1"/>
    <x:col min="16" max="16" width="4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15 hands-on labs from Microsoft repositories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6" customHeight="1">
      <x:c r="A5" s="19" t="str">
        <x:v>ID</x:v>
      </x:c>
      <x:c r="B5" s="19" t="str">
        <x:v>Week</x:v>
      </x:c>
      <x:c r="C5" s="19" t="str">
        <x:v>Lab</x:v>
      </x:c>
      <x:c r="D5" s="19" t="str">
        <x:v>Repository URL</x:v>
      </x:c>
      <x:c r="E5" s="19" t="str">
        <x:v>Your task</x:v>
      </x:c>
      <x:c r="F5" s="19" t="str">
        <x:v>Lab hours*</x:v>
      </x:c>
      <x:c r="G5" s="19" t="str">
        <x:v>Prerequisites</x:v>
      </x:c>
      <x:c r="H5" s="19" t="str">
        <x:v>Acceptance evidence</x:v>
      </x:c>
      <x:c r="I5" s="19" t="str">
        <x:v>Status</x:v>
      </x:c>
      <x:c r="J5" s="19" t="str">
        <x:v>Actual hours</x:v>
      </x:c>
      <x:c r="K5" s="19" t="str">
        <x:v>Evidence link</x:v>
      </x:c>
      <x:c r="L5" s="19" t="str">
        <x:v>Source note</x:v>
      </x:c>
      <x:c r="M5" s="19" t="str">
        <x:v>Reuse candidate</x:v>
      </x:c>
      <x:c r="N5" s="19" t="str">
        <x:v>Production gaps to close</x:v>
      </x:c>
      <x:c r="O5" s="19" t="str">
        <x:v>Maintenance owner</x:v>
      </x:c>
      <x:c r="P5" s="19" t="str">
        <x:v>Validated evidence</x:v>
      </x:c>
    </x:row>
    <x:row r="6" ht="48" customHeight="1">
      <x:c r="A6" s="20" t="str">
        <x:v>L01</x:v>
      </x:c>
      <x:c r="B6" s="20" t="n">
        <x:v>1</x:v>
      </x:c>
      <x:c r="C6" s="20" t="str">
        <x:v>Agent foundations</x:v>
      </x:c>
      <x:c r="D6" s="59" t="str">
        <x:v>https://github.com/microsoft/ai-agents-for-beginners</x:v>
      </x:c>
      <x:c r="E6" s="20" t="str">
        <x:v>Read setup and introduction; run one supported starter notebook.</x:v>
      </x:c>
      <x:c r="F6" s="20" t="n">
        <x:v>1.5</x:v>
      </x:c>
      <x:c r="G6" s="20" t="str">
        <x:v>Azure sandbox, Python, Git, model quota</x:v>
      </x:c>
      <x:c r="H6" s="20" t="str">
        <x:v>Successful invocation; commit hash and dependency versions recorded.</x:v>
      </x:c>
      <x:c r="I6" s="22" t="str">
        <x:v>Not started</x:v>
      </x:c>
      <x:c r="J6" s="22"/>
      <x:c r="K6" s="22"/>
      <x:c r="L6" s="20" t="str">
        <x:v>Official Microsoft repo; exercises are tailored assignments, not claimed upstream lab titles.</x:v>
      </x:c>
      <x:c r="M6" s="60" t="str">
        <x:v>Candidate until tested</x:v>
      </x:c>
      <x:c r="N6" s="60" t="str">
        <x:v>Confirm supported configuration, security, licensing, API/dependency versions and operations</x:v>
      </x:c>
      <x:c r="O6" s="62"/>
      <x:c r="P6" s="62"/>
    </x:row>
    <x:row r="7" ht="48" customHeight="1">
      <x:c r="A7" s="20" t="str">
        <x:v>L02</x:v>
      </x:c>
      <x:c r="B7" s="20" t="n">
        <x:v>1</x:v>
      </x:c>
      <x:c r="C7" s="20" t="str">
        <x:v>First authenticated client</x:v>
      </x:c>
      <x:c r="D7" s="59" t="str">
        <x:v>https://github.com/Azure-Samples/azureai-samples</x:v>
      </x:c>
      <x:c r="E7" s="20" t="str">
        <x:v>Select current Foundry chat sample; use Entra authentication where supported.</x:v>
      </x:c>
      <x:c r="F7" s="20" t="n">
        <x:v>1.5</x:v>
      </x:c>
      <x:c r="G7" s="20" t="str">
        <x:v>Foundry project, deployed model, required RBAC</x:v>
      </x:c>
      <x:c r="H7" s="20" t="str">
        <x:v>Client works; no secrets committed; endpoint and API version documented.</x:v>
      </x:c>
      <x:c r="I7" s="22" t="str">
        <x:v>Not started</x:v>
      </x:c>
      <x:c r="J7" s="22"/>
      <x:c r="K7" s="22"/>
      <x:c r="L7" s="20" t="str">
        <x:v>Official Microsoft repo; exercises are tailored assignments, not claimed upstream lab titles.</x:v>
      </x:c>
      <x:c r="M7" s="60" t="str">
        <x:v>Candidate until tested</x:v>
      </x:c>
      <x:c r="N7" s="60" t="str">
        <x:v>Confirm supported configuration, security, licensing, API/dependency versions and operations</x:v>
      </x:c>
      <x:c r="O7" s="62"/>
      <x:c r="P7" s="62"/>
    </x:row>
    <x:row r="8" ht="48" customHeight="1">
      <x:c r="A8" s="20" t="str">
        <x:v>L03</x:v>
      </x:c>
      <x:c r="B8" s="20" t="n">
        <x:v>2</x:v>
      </x:c>
      <x:c r="C8" s="20" t="str">
        <x:v>Deploy enterprise RAG demo</x:v>
      </x:c>
      <x:c r="D8" s="59" t="str">
        <x:v>https://github.com/Azure-Samples/azure-search-openai-demo</x:v>
      </x:c>
      <x:c r="E8" s="20" t="str">
        <x:v>Deploy minimum configuration using repository instructions.</x:v>
      </x:c>
      <x:c r="F8" s="20" t="n">
        <x:v>2</x:v>
      </x:c>
      <x:c r="G8" s="20" t="str">
        <x:v>Azure subscription, Azure CLI/azd, quota</x:v>
      </x:c>
      <x:c r="H8" s="20" t="str">
        <x:v>Synthetic documents indexed; grounded answers cite sources; teardown tested.</x:v>
      </x:c>
      <x:c r="I8" s="22" t="str">
        <x:v>Not started</x:v>
      </x:c>
      <x:c r="J8" s="22"/>
      <x:c r="K8" s="22"/>
      <x:c r="L8" s="20" t="str">
        <x:v>Official Microsoft repo; exercises are tailored assignments, not claimed upstream lab titles.</x:v>
      </x:c>
      <x:c r="M8" s="60" t="str">
        <x:v>Candidate until tested</x:v>
      </x:c>
      <x:c r="N8" s="60" t="str">
        <x:v>Confirm supported configuration, security, licensing, API/dependency versions and operations</x:v>
      </x:c>
      <x:c r="O8" s="62"/>
      <x:c r="P8" s="62"/>
    </x:row>
    <x:row r="9" ht="48" customHeight="1">
      <x:c r="A9" s="20" t="str">
        <x:v>L04</x:v>
      </x:c>
      <x:c r="B9" s="20" t="n">
        <x:v>2</x:v>
      </x:c>
      <x:c r="C9" s="20" t="str">
        <x:v>RAG permission and quality tests</x:v>
      </x:c>
      <x:c r="D9" s="59" t="str">
        <x:v>https://github.com/Azure-Samples/azure-search-openai-demo</x:v>
      </x:c>
      <x:c r="E9" s="20" t="str">
        <x:v>Extend your deployment with a 20-question set and supported access control.</x:v>
      </x:c>
      <x:c r="F9" s="20" t="n">
        <x:v>2</x:v>
      </x:c>
      <x:c r="G9" s="20" t="str">
        <x:v>L03 deployment, test users, synthetic ACL data</x:v>
      </x:c>
      <x:c r="H9" s="20" t="str">
        <x:v>Measure answer quality; unauthorized documents do not appear in tested paths.</x:v>
      </x:c>
      <x:c r="I9" s="22" t="str">
        <x:v>Not started</x:v>
      </x:c>
      <x:c r="J9" s="22"/>
      <x:c r="K9" s="22"/>
      <x:c r="L9" s="20" t="str">
        <x:v>Official Microsoft repo; exercises are tailored assignments, not claimed upstream lab titles.</x:v>
      </x:c>
      <x:c r="M9" s="60" t="str">
        <x:v>Candidate until tested</x:v>
      </x:c>
      <x:c r="N9" s="60" t="str">
        <x:v>Confirm supported configuration, security, licensing, API/dependency versions and operations</x:v>
      </x:c>
      <x:c r="O9" s="62"/>
      <x:c r="P9" s="62"/>
    </x:row>
    <x:row r="10" ht="48" customHeight="1">
      <x:c r="A10" s="20" t="str">
        <x:v>L05</x:v>
      </x:c>
      <x:c r="B10" s="20" t="n">
        <x:v>2</x:v>
      </x:c>
      <x:c r="C10" s="20" t="str">
        <x:v>Foundry agent tools</x:v>
      </x:c>
      <x:c r="D10" s="59" t="str">
        <x:v>https://github.com/Azure-Samples/azureai-samples</x:v>
      </x:c>
      <x:c r="E10" s="20" t="str">
        <x:v>Adapt a supported agent sample with one read-only tool.</x:v>
      </x:c>
      <x:c r="F10" s="20" t="n">
        <x:v>1.5</x:v>
      </x:c>
      <x:c r="G10" s="20" t="str">
        <x:v>Foundry agent prerequisites, mock API</x:v>
      </x:c>
      <x:c r="H10" s="20" t="str">
        <x:v>Five tool cases pass including timeout and unavailable API.</x:v>
      </x:c>
      <x:c r="I10" s="22" t="str">
        <x:v>Not started</x:v>
      </x:c>
      <x:c r="J10" s="22"/>
      <x:c r="K10" s="22"/>
      <x:c r="L10" s="20" t="str">
        <x:v>Official Microsoft repo; exercises are tailored assignments, not claimed upstream lab titles.</x:v>
      </x:c>
      <x:c r="M10" s="60" t="str">
        <x:v>Candidate until tested</x:v>
      </x:c>
      <x:c r="N10" s="60" t="str">
        <x:v>Confirm supported configuration, security, licensing, API/dependency versions and operations</x:v>
      </x:c>
      <x:c r="O10" s="62"/>
      <x:c r="P10" s="62"/>
    </x:row>
    <x:row r="11" ht="48" customHeight="1">
      <x:c r="A11" s="20" t="str">
        <x:v>L06</x:v>
      </x:c>
      <x:c r="B11" s="20" t="n">
        <x:v>3</x:v>
      </x:c>
      <x:c r="C11" s="20" t="str">
        <x:v>Knowledge service desk agent</x:v>
      </x:c>
      <x:c r="D11" s="59" t="str">
        <x:v>https://github.com/microsoft/CopilotStudioSamples</x:v>
      </x:c>
      <x:c r="E11" s="20" t="str">
        <x:v>Use authoring guidance; build a synthetic IT FAQ agent.</x:v>
      </x:c>
      <x:c r="F11" s="20" t="n">
        <x:v>1.5</x:v>
      </x:c>
      <x:c r="G11" s="20" t="str">
        <x:v>Copilot Studio environment and entitlement</x:v>
      </x:c>
      <x:c r="H11" s="20" t="str">
        <x:v>10 FAQ cases with grounded answers and a clear fallback.</x:v>
      </x:c>
      <x:c r="I11" s="22" t="str">
        <x:v>Not started</x:v>
      </x:c>
      <x:c r="J11" s="22"/>
      <x:c r="K11" s="22"/>
      <x:c r="L11" s="20" t="str">
        <x:v>Official Microsoft repo; exercises are tailored assignments, not claimed upstream lab titles.</x:v>
      </x:c>
      <x:c r="M11" s="60" t="str">
        <x:v>Candidate until tested</x:v>
      </x:c>
      <x:c r="N11" s="60" t="str">
        <x:v>Confirm supported configuration, security, licensing, API/dependency versions and operations</x:v>
      </x:c>
      <x:c r="O11" s="62"/>
      <x:c r="P11" s="62"/>
    </x:row>
    <x:row r="12" ht="48" customHeight="1">
      <x:c r="A12" s="20" t="str">
        <x:v>L07</x:v>
      </x:c>
      <x:c r="B12" s="20" t="n">
        <x:v>3</x:v>
      </x:c>
      <x:c r="C12" s="20" t="str">
        <x:v>Ticket workflow</x:v>
      </x:c>
      <x:c r="D12" s="59" t="str">
        <x:v>https://github.com/microsoft/CopilotStudioSamples</x:v>
      </x:c>
      <x:c r="E12" s="20" t="str">
        <x:v>Adapt authoring/extensibility examples to a mock ticket API.</x:v>
      </x:c>
      <x:c r="F12" s="20" t="n">
        <x:v>2</x:v>
      </x:c>
      <x:c r="G12" s="20" t="str">
        <x:v>Mock service desk API, connector approval</x:v>
      </x:c>
      <x:c r="H12" s="20" t="str">
        <x:v>Explicit approval before creation; repeated request does not duplicate ticket.</x:v>
      </x:c>
      <x:c r="I12" s="22" t="str">
        <x:v>Not started</x:v>
      </x:c>
      <x:c r="J12" s="22"/>
      <x:c r="K12" s="22"/>
      <x:c r="L12" s="20" t="str">
        <x:v>Official Microsoft repo; exercises are tailored assignments, not claimed upstream lab titles.</x:v>
      </x:c>
      <x:c r="M12" s="60" t="str">
        <x:v>Candidate until tested</x:v>
      </x:c>
      <x:c r="N12" s="60" t="str">
        <x:v>Confirm supported configuration, security, licensing, API/dependency versions and operations</x:v>
      </x:c>
      <x:c r="O12" s="62"/>
      <x:c r="P12" s="62"/>
    </x:row>
    <x:row r="13" ht="48" customHeight="1">
      <x:c r="A13" s="20" t="str">
        <x:v>L08</x:v>
      </x:c>
      <x:c r="B13" s="20" t="n">
        <x:v>3</x:v>
      </x:c>
      <x:c r="C13" s="20" t="str">
        <x:v>Studio functional testing</x:v>
      </x:c>
      <x:c r="D13" s="59" t="str">
        <x:v>https://github.com/microsoft/CopilotStudioSamples</x:v>
      </x:c>
      <x:c r="E13" s="20" t="str">
        <x:v>Use testing category guidance to create a repeatable test set.</x:v>
      </x:c>
      <x:c r="F13" s="20" t="n">
        <x:v>1.5</x:v>
      </x:c>
      <x:c r="G13" s="20" t="str">
        <x:v>L06/L07, supported test tooling</x:v>
      </x:c>
      <x:c r="H13" s="20" t="str">
        <x:v>15 regression cases; failures and environment configuration captured.</x:v>
      </x:c>
      <x:c r="I13" s="22" t="str">
        <x:v>Not started</x:v>
      </x:c>
      <x:c r="J13" s="22"/>
      <x:c r="K13" s="22"/>
      <x:c r="L13" s="20" t="str">
        <x:v>Official Microsoft repo; exercises are tailored assignments, not claimed upstream lab titles.</x:v>
      </x:c>
      <x:c r="M13" s="60" t="str">
        <x:v>Candidate until tested</x:v>
      </x:c>
      <x:c r="N13" s="60" t="str">
        <x:v>Confirm supported configuration, security, licensing, API/dependency versions and operations</x:v>
      </x:c>
      <x:c r="O13" s="62"/>
      <x:c r="P13" s="62"/>
    </x:row>
    <x:row r="14" ht="48" customHeight="1">
      <x:c r="A14" s="20" t="str">
        <x:v>L09</x:v>
      </x:c>
      <x:c r="B14" s="20" t="n">
        <x:v>4</x:v>
      </x:c>
      <x:c r="C14" s="20" t="str">
        <x:v>Expose a custom agent</x:v>
      </x:c>
      <x:c r="D14" s="59" t="str">
        <x:v>https://github.com/microsoft/Agents</x:v>
      </x:c>
      <x:c r="E14" s="20" t="str">
        <x:v>Select a current language quickstart and supported channel.</x:v>
      </x:c>
      <x:c r="F14" s="20" t="n">
        <x:v>2</x:v>
      </x:c>
      <x:c r="G14" s="20" t="str">
        <x:v>App registration, channel permissions, admin support</x:v>
      </x:c>
      <x:c r="H14" s="20" t="str">
        <x:v>Agent responds in approved channel; identity flow documented.</x:v>
      </x:c>
      <x:c r="I14" s="22" t="str">
        <x:v>Not started</x:v>
      </x:c>
      <x:c r="J14" s="22"/>
      <x:c r="K14" s="22"/>
      <x:c r="L14" s="20" t="str">
        <x:v>Official Microsoft repo; exercises are tailored assignments, not claimed upstream lab titles.</x:v>
      </x:c>
      <x:c r="M14" s="60" t="str">
        <x:v>Candidate until tested</x:v>
      </x:c>
      <x:c r="N14" s="60" t="str">
        <x:v>Confirm supported configuration, security, licensing, API/dependency versions and operations</x:v>
      </x:c>
      <x:c r="O14" s="62"/>
      <x:c r="P14" s="62"/>
    </x:row>
    <x:row r="15" ht="48" customHeight="1">
      <x:c r="A15" s="20" t="str">
        <x:v>L10</x:v>
      </x:c>
      <x:c r="B15" s="20" t="n">
        <x:v>4</x:v>
      </x:c>
      <x:c r="C15" s="20" t="str">
        <x:v>Declarative agent integration</x:v>
      </x:c>
      <x:c r="D15" s="59" t="str">
        <x:v>https://github.com/microsoft/CopilotStudioSamples</x:v>
      </x:c>
      <x:c r="E15" s="20" t="str">
        <x:v>Use current extensibility guidance with module M16.</x:v>
      </x:c>
      <x:c r="F15" s="20" t="n">
        <x:v>1.5</x:v>
      </x:c>
      <x:c r="G15" s="20" t="str">
        <x:v>Eligible M365 tenant, license, deployment approval</x:v>
      </x:c>
      <x:c r="H15" s="20" t="str">
        <x:v>Agent works for test user; access-denied case documented.</x:v>
      </x:c>
      <x:c r="I15" s="22" t="str">
        <x:v>Not started</x:v>
      </x:c>
      <x:c r="J15" s="22"/>
      <x:c r="K15" s="22"/>
      <x:c r="L15" s="20" t="str">
        <x:v>Official Microsoft repo; exercises are tailored assignments, not claimed upstream lab titles.</x:v>
      </x:c>
      <x:c r="M15" s="60" t="str">
        <x:v>Candidate until tested</x:v>
      </x:c>
      <x:c r="N15" s="60" t="str">
        <x:v>Confirm supported configuration, security, licensing, API/dependency versions and operations</x:v>
      </x:c>
      <x:c r="O15" s="62"/>
      <x:c r="P15" s="62"/>
    </x:row>
    <x:row r="16" ht="48" customHeight="1">
      <x:c r="A16" s="20" t="str">
        <x:v>L11</x:v>
      </x:c>
      <x:c r="B16" s="20" t="n">
        <x:v>5</x:v>
      </x:c>
      <x:c r="C16" s="20" t="str">
        <x:v>Agent Framework workflow</x:v>
      </x:c>
      <x:c r="D16" s="59" t="str">
        <x:v>https://github.com/microsoft/agent-framework</x:v>
      </x:c>
      <x:c r="E16" s="20" t="str">
        <x:v>Select current get-started/workflow samples; implement bounded routing.</x:v>
      </x:c>
      <x:c r="F16" s="20" t="n">
        <x:v>2</x:v>
      </x:c>
      <x:c r="G16" s="20" t="str">
        <x:v>Python or .NET, current supported model client</x:v>
      </x:c>
      <x:c r="H16" s="20" t="str">
        <x:v>Two task types route correctly; max steps and timeout prevent loops.</x:v>
      </x:c>
      <x:c r="I16" s="22" t="str">
        <x:v>Not started</x:v>
      </x:c>
      <x:c r="J16" s="22"/>
      <x:c r="K16" s="22"/>
      <x:c r="L16" s="20" t="str">
        <x:v>Official Microsoft repo; exercises are tailored assignments, not claimed upstream lab titles.</x:v>
      </x:c>
      <x:c r="M16" s="60" t="str">
        <x:v>Candidate until tested</x:v>
      </x:c>
      <x:c r="N16" s="60" t="str">
        <x:v>Confirm supported configuration, security, licensing, API/dependency versions and operations</x:v>
      </x:c>
      <x:c r="O16" s="62"/>
      <x:c r="P16" s="62"/>
    </x:row>
    <x:row r="17" ht="48" customHeight="1">
      <x:c r="A17" s="20" t="str">
        <x:v>L12</x:v>
      </x:c>
      <x:c r="B17" s="20" t="n">
        <x:v>5</x:v>
      </x:c>
      <x:c r="C17" s="20" t="str">
        <x:v>MCP integration</x:v>
      </x:c>
      <x:c r="D17" s="59" t="str">
        <x:v>https://github.com/microsoft/CopilotStudioSamples</x:v>
      </x:c>
      <x:c r="E17" s="20" t="str">
        <x:v>Select an extensibility MCP sample; expose a read-only mock tool.</x:v>
      </x:c>
      <x:c r="F17" s="20" t="n">
        <x:v>2</x:v>
      </x:c>
      <x:c r="G17" s="20" t="str">
        <x:v>MCP service, supported authentication, allowlist</x:v>
      </x:c>
      <x:c r="H17" s="20" t="str">
        <x:v>Authorized call succeeds; unauthorized call fails; tool audit captured.</x:v>
      </x:c>
      <x:c r="I17" s="22" t="str">
        <x:v>Not started</x:v>
      </x:c>
      <x:c r="J17" s="22"/>
      <x:c r="K17" s="22"/>
      <x:c r="L17" s="20" t="str">
        <x:v>Official Microsoft repo; exercises are tailored assignments, not claimed upstream lab titles.</x:v>
      </x:c>
      <x:c r="M17" s="60" t="str">
        <x:v>Candidate until tested</x:v>
      </x:c>
      <x:c r="N17" s="60" t="str">
        <x:v>Confirm supported configuration, security, licensing, API/dependency versions and operations</x:v>
      </x:c>
      <x:c r="O17" s="62"/>
      <x:c r="P17" s="62"/>
    </x:row>
    <x:row r="18" ht="48" customHeight="1">
      <x:c r="A18" s="20" t="str">
        <x:v>L13</x:v>
      </x:c>
      <x:c r="B18" s="20" t="n">
        <x:v>5</x:v>
      </x:c>
      <x:c r="C18" s="20" t="str">
        <x:v>Foundry specialist integration</x:v>
      </x:c>
      <x:c r="D18" s="59" t="str">
        <x:v>https://github.com/microsoft/agent-framework</x:v>
      </x:c>
      <x:c r="E18" s="20" t="str">
        <x:v>Use Foundry provider samples; connect specialist through supported interface.</x:v>
      </x:c>
      <x:c r="F18" s="20" t="n">
        <x:v>2</x:v>
      </x:c>
      <x:c r="G18" s="20" t="str">
        <x:v>L11, Foundry access; check sample compatibility</x:v>
      </x:c>
      <x:c r="H18" s="20" t="str">
        <x:v>Failure isolation and deterministic fallback; record actual interface used.</x:v>
      </x:c>
      <x:c r="I18" s="22" t="str">
        <x:v>Not started</x:v>
      </x:c>
      <x:c r="J18" s="22"/>
      <x:c r="K18" s="22"/>
      <x:c r="L18" s="20" t="str">
        <x:v>Official Microsoft repo; exercises are tailored assignments, not claimed upstream lab titles.</x:v>
      </x:c>
      <x:c r="M18" s="60" t="str">
        <x:v>Candidate until tested</x:v>
      </x:c>
      <x:c r="N18" s="60" t="str">
        <x:v>Confirm supported configuration, security, licensing, API/dependency versions and operations</x:v>
      </x:c>
      <x:c r="O18" s="62"/>
      <x:c r="P18" s="62"/>
    </x:row>
    <x:row r="19" ht="48" customHeight="1">
      <x:c r="A19" s="20" t="str">
        <x:v>L14</x:v>
      </x:c>
      <x:c r="B19" s="20" t="n">
        <x:v>6</x:v>
      </x:c>
      <x:c r="C19" s="20" t="str">
        <x:v>Infrastructure and private access review</x:v>
      </x:c>
      <x:c r="D19" s="59" t="str">
        <x:v>https://github.com/microsoft/CopilotStudioSamples</x:v>
      </x:c>
      <x:c r="E19" s="20" t="str">
        <x:v>Review infrastructure category; map supported network controls to your Azure design.</x:v>
      </x:c>
      <x:c r="F19" s="20" t="n">
        <x:v>2</x:v>
      </x:c>
      <x:c r="G19" s="20" t="str">
        <x:v>Infra/Security tower review; private networking access</x:v>
      </x:c>
      <x:c r="H19" s="20" t="str">
        <x:v>DNS and connectivity test matrix; gaps and service support constraints recorded.</x:v>
      </x:c>
      <x:c r="I19" s="22" t="str">
        <x:v>Not started</x:v>
      </x:c>
      <x:c r="J19" s="22"/>
      <x:c r="K19" s="22"/>
      <x:c r="L19" s="20" t="str">
        <x:v>Official Microsoft repo; exercises are tailored assignments, not claimed upstream lab titles.</x:v>
      </x:c>
      <x:c r="M19" s="60" t="str">
        <x:v>Candidate until tested</x:v>
      </x:c>
      <x:c r="N19" s="60" t="str">
        <x:v>Confirm supported configuration, security, licensing, API/dependency versions and operations</x:v>
      </x:c>
      <x:c r="O19" s="62"/>
      <x:c r="P19" s="62"/>
    </x:row>
    <x:row r="20" ht="48" customHeight="1">
      <x:c r="A20" s="20" t="str">
        <x:v>L15</x:v>
      </x:c>
      <x:c r="B20" s="20" t="n">
        <x:v>6</x:v>
      </x:c>
      <x:c r="C20" s="20" t="str">
        <x:v>RAG production readiness review</x:v>
      </x:c>
      <x:c r="D20" s="59" t="str">
        <x:v>https://github.com/Azure-Samples/azure-search-openai-demo</x:v>
      </x:c>
      <x:c r="E20" s="20" t="str">
        <x:v>Review deployment templates; create Terraform mapping and operations checklist.</x:v>
      </x:c>
      <x:c r="F20" s="20" t="n">
        <x:v>2</x:v>
      </x:c>
      <x:c r="G20" s="20" t="str">
        <x:v>L03, DevOps and Data/AI review</x:v>
      </x:c>
      <x:c r="H20" s="20" t="str">
        <x:v>IaC mapping, cost drivers, runbook, evaluation results and cleanup evidence.</x:v>
      </x:c>
      <x:c r="I20" s="22" t="str">
        <x:v>Not started</x:v>
      </x:c>
      <x:c r="J20" s="22"/>
      <x:c r="K20" s="22"/>
      <x:c r="L20" s="20" t="str">
        <x:v>Official Microsoft repo; exercises are tailored assignments, not claimed upstream lab titles.</x:v>
      </x:c>
      <x:c r="M20" s="60" t="str">
        <x:v>Candidate until tested</x:v>
      </x:c>
      <x:c r="N20" s="60" t="str">
        <x:v>Confirm supported configuration, security, licensing, API/dependency versions and operations</x:v>
      </x:c>
      <x:c r="O20" s="62"/>
      <x:c r="P20" s="62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</x:sheetData>
  <x:conditionalFormatting sqref="I6:I20">
    <x:cfRule type="containsText" dxfId="2" priority="1" operator="containsText" text="Completed"/>
    <x:cfRule type="containsText" dxfId="3" priority="2" operator="containsText" text="Blocked"/>
  </x:conditionalFormatting>
  <x:dataValidations count="1">
    <x:dataValidation type="list" sqref="I6:I20">
      <x:formula1>"Not started,In progress,Blocked,Completed"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ca8d03c37da45b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8" hidden="0" customWidth="1"/>
    <x:col min="2" max="2" width="65" hidden="0" customWidth="1"/>
    <x:col min="3" max="3" width="58" hidden="0" customWidth="1"/>
    <x:col min="4" max="4" width="58" hidden="0" customWidth="1"/>
    <x:col min="5" max="5" width="65" hidden="0" customWidth="1"/>
    <x:col min="6" max="6" width="45" hidden="0" customWidth="1"/>
    <x:col min="7" max="7" width="45" hidden="0" customWidth="1"/>
    <x:col min="8" max="8" width="45" hidden="0" customWidth="1"/>
    <x:col min="9" max="9" width="45" hidden="0" customWidth="1"/>
  </x:cols>
  <x:sheetData>
    <x:row r="1">
      <x:c r="A1" s="1"/>
      <x:c r="B1" s="1"/>
      <x:c r="C1" s="1"/>
      <x:c r="D1" s="1"/>
      <x:c r="E1" s="1"/>
    </x:row>
    <x:row r="2">
      <x:c r="A2" s="2" t="str">
        <x:v>Architecture topics and proposed tower boundaries</x:v>
      </x:c>
      <x:c r="B2" s="1"/>
      <x:c r="C2" s="1"/>
      <x:c r="D2" s="1"/>
      <x:c r="E2" s="1"/>
    </x:row>
    <x:row r="3">
      <x:c r="A3" s="1"/>
      <x:c r="B3" s="1"/>
      <x:c r="C3" s="1"/>
      <x:c r="D3" s="1"/>
      <x:c r="E3" s="1"/>
    </x:row>
    <x:row r="4">
      <x:c r="A4" s="1"/>
      <x:c r="B4" s="1"/>
      <x:c r="C4" s="1"/>
      <x:c r="D4" s="1"/>
      <x:c r="E4" s="1"/>
    </x:row>
    <x:row r="5" ht="36" customHeight="1">
      <x:c r="A5" s="19" t="str">
        <x:v>Topic</x:v>
      </x:c>
      <x:c r="B5" s="19" t="str">
        <x:v>What to decide / test</x:v>
      </x:c>
      <x:c r="C5" s="19" t="str">
        <x:v>Proposed ownership*</x:v>
      </x:c>
      <x:c r="D5" s="19" t="str">
        <x:v>Required evidence</x:v>
      </x:c>
      <x:c r="E5" s="19" t="str">
        <x:v>Resource URL</x:v>
      </x:c>
      <x:c r="F5" s="19" t="str">
        <x:v>Offer / pattern</x:v>
      </x:c>
      <x:c r="G5" s="19" t="str">
        <x:v>Quantities and SKU/region evidence</x:v>
      </x:c>
      <x:c r="H5" s="19" t="str">
        <x:v>Customer prerequisite</x:v>
      </x:c>
      <x:c r="I5" s="19" t="str">
        <x:v>Approval / evidence owner</x:v>
      </x:c>
    </x:row>
    <x:row r="6" ht="48" customHeight="1">
      <x:c r="A6" s="20" t="str">
        <x:v>Platform selection</x:v>
      </x:c>
      <x:c r="B6" s="20" t="str">
        <x:v>Compare M365 Copilot, Studio and Foundry against channel, control and integration needs.</x:v>
      </x:c>
      <x:c r="C6" s="20" t="str">
        <x:v>Infra + AI + M365 owner</x:v>
      </x:c>
      <x:c r="D6" s="20" t="str">
        <x:v>Decision matrix with two rejected alternatives</x:v>
      </x:c>
      <x:c r="E6" s="20" t="str">
        <x:v>https://learn.microsoft.com/en-us/microsoft-365/copilot/extensibility/overview</x:v>
      </x:c>
      <x:c r="F6" s="60" t="str">
        <x:v>O02: existing LZ extension</x:v>
      </x:c>
      <x:c r="G6" s="62"/>
      <x:c r="H6" s="62"/>
      <x:c r="I6" s="62"/>
    </x:row>
    <x:row r="7" ht="48" customHeight="1">
      <x:c r="A7" s="20" t="str">
        <x:v>Identity and authorization</x:v>
      </x:c>
      <x:c r="B7" s="20" t="str">
        <x:v>Separate user delegation, app identity, RBAC and data permissions; test denial.</x:v>
      </x:c>
      <x:c r="C7" s="20" t="str">
        <x:v>Security accountable; Infra implements agreed platform controls</x:v>
      </x:c>
      <x:c r="D7" s="20" t="str">
        <x:v>Identity sequence and permission matrix</x:v>
      </x:c>
      <x:c r="E7" s="20" t="str">
        <x:v>https://learn.microsoft.com/en-us/training/modules/examine-data-security-microsoft-365-copilot/</x:v>
      </x:c>
      <x:c r="F7" s="60" t="str">
        <x:v>O02: existing LZ extension</x:v>
      </x:c>
      <x:c r="G7" s="62"/>
      <x:c r="H7" s="62"/>
      <x:c r="I7" s="62"/>
    </x:row>
    <x:row r="8" ht="48" customHeight="1">
      <x:c r="A8" s="20" t="str">
        <x:v>Private networking and DNS</x:v>
      </x:c>
      <x:c r="B8" s="20" t="str">
        <x:v>Check exact service, SKU, region and deployment architecture; test ingress and egress.</x:v>
      </x:c>
      <x:c r="C8" s="20" t="str">
        <x:v>Infra accountable; Security consulted</x:v>
      </x:c>
      <x:c r="D8" s="20" t="str">
        <x:v>Connectivity matrix and DNS design</x:v>
      </x:c>
      <x:c r="E8" s="20" t="str">
        <x:v>https://github.com/microsoft/CopilotStudioSamples/tree/main/infrastructure</x:v>
      </x:c>
      <x:c r="F8" s="60" t="str">
        <x:v>O02: existing LZ extension</x:v>
      </x:c>
      <x:c r="G8" s="62"/>
      <x:c r="H8" s="62"/>
      <x:c r="I8" s="62"/>
    </x:row>
    <x:row r="9" ht="48" customHeight="1">
      <x:c r="A9" s="20" t="str">
        <x:v>RAG data lifecycle</x:v>
      </x:c>
      <x:c r="B9" s="20" t="str">
        <x:v>Assign document owner, ingestion, ACL propagation, retention and deletion.</x:v>
      </x:c>
      <x:c r="C9" s="20" t="str">
        <x:v>Data Engineering accountable; Data/AI owns retrieval logic</x:v>
      </x:c>
      <x:c r="D9" s="20" t="str">
        <x:v>Data flow and unauthorized retrieval tests</x:v>
      </x:c>
      <x:c r="E9" s="20" t="str">
        <x:v>https://learn.microsoft.com/en-us/azure/foundry/concepts/retrieval-augmented-generation</x:v>
      </x:c>
      <x:c r="F9" s="60" t="str">
        <x:v>O02: existing LZ extension</x:v>
      </x:c>
      <x:c r="G9" s="62"/>
      <x:c r="H9" s="62"/>
      <x:c r="I9" s="62"/>
    </x:row>
    <x:row r="10" ht="48" customHeight="1">
      <x:c r="A10" s="20" t="str">
        <x:v>Quality evaluation</x:v>
      </x:c>
      <x:c r="B10" s="20" t="str">
        <x:v>Create a representative dataset; test groundedness, relevance and retrieval quality.</x:v>
      </x:c>
      <x:c r="C10" s="20" t="str">
        <x:v>AI accountable; Data and business owner consulted</x:v>
      </x:c>
      <x:c r="D10" s="20" t="str">
        <x:v>Versioned evaluation report and agreed acceptance threshold</x:v>
      </x:c>
      <x:c r="E10" s="20" t="str">
        <x:v>https://learn.microsoft.com/en-us/azure/foundry/concepts/evaluation-evaluators/rag-evaluators?view=foundry</x:v>
      </x:c>
      <x:c r="F10" s="60" t="str">
        <x:v>O02: existing LZ extension</x:v>
      </x:c>
      <x:c r="G10" s="62"/>
      <x:c r="H10" s="62"/>
      <x:c r="I10" s="62"/>
    </x:row>
    <x:row r="11" ht="48" customHeight="1">
      <x:c r="A11" s="20" t="str">
        <x:v>Tool and MCP security</x:v>
      </x:c>
      <x:c r="B11" s="20" t="str">
        <x:v>Allowlist tools; authenticate callers; constrain scopes and validate tool inputs.</x:v>
      </x:c>
      <x:c r="C11" s="20" t="str">
        <x:v>AI/API owner accountable; Security approves controls</x:v>
      </x:c>
      <x:c r="D11" s="20" t="str">
        <x:v>Unauthorized, timeout and approval cases</x:v>
      </x:c>
      <x:c r="E11" s="20" t="str">
        <x:v>https://learn.microsoft.com/en-us/training/modules/connect-agent-to-mcp-tools/</x:v>
      </x:c>
      <x:c r="F11" s="60" t="str">
        <x:v>O02: existing LZ extension</x:v>
      </x:c>
      <x:c r="G11" s="62"/>
      <x:c r="H11" s="62"/>
      <x:c r="I11" s="62"/>
    </x:row>
    <x:row r="12" ht="48" customHeight="1">
      <x:c r="A12" s="20" t="str">
        <x:v>Observability and support</x:v>
      </x:c>
      <x:c r="B12" s="20" t="str">
        <x:v>Define request correlation, latency, token usage, redaction, alerts and ownership.</x:v>
      </x:c>
      <x:c r="C12" s="20" t="str">
        <x:v>Infra owns monitoring platform; AI owns application traces</x:v>
      </x:c>
      <x:c r="D12" s="20" t="str">
        <x:v>Operations dashboard spec and incident runbook</x:v>
      </x:c>
      <x:c r="E12" s="20" t="str">
        <x:v>https://github.com/microsoft/agent-framework</x:v>
      </x:c>
      <x:c r="F12" s="60" t="str">
        <x:v>O02: existing LZ extension</x:v>
      </x:c>
      <x:c r="G12" s="62"/>
      <x:c r="H12" s="62"/>
      <x:c r="I12" s="62"/>
    </x:row>
    <x:row r="13" ht="48" customHeight="1">
      <x:c r="A13" s="20" t="str">
        <x:v>IaC and delivery</x:v>
      </x:c>
      <x:c r="B13" s="20" t="str">
        <x:v>Map sample Bicep/azd resources to Terraform; do not assume sample is Terraform-ready.</x:v>
      </x:c>
      <x:c r="C13" s="20" t="str">
        <x:v>DevOps owns pipeline; Infra owns platform modules</x:v>
      </x:c>
      <x:c r="D13" s="20" t="str">
        <x:v>Terraform mapping, environment gates and rollback plan</x:v>
      </x:c>
      <x:c r="E13" s="20" t="str">
        <x:v>https://github.com/Azure-Samples/azure-search-openai-demo</x:v>
      </x:c>
      <x:c r="F13" s="60" t="str">
        <x:v>O02: existing LZ extension</x:v>
      </x:c>
      <x:c r="G13" s="62"/>
      <x:c r="H13" s="62"/>
      <x:c r="I13" s="62"/>
    </x:row>
    <x:row r="14" ht="48" customHeight="1">
      <x:c r="A14" s="20" t="str">
        <x:v>Resilience</x:v>
      </x:c>
      <x:c r="B14" s="20" t="str">
        <x:v>Validate quota, regional availability, state recovery and fallback per service.</x:v>
      </x:c>
      <x:c r="C14" s="20" t="str">
        <x:v>Infra and AI agree RTO/RPO; business approves</x:v>
      </x:c>
      <x:c r="D14" s="20" t="str">
        <x:v>Failure scenarios and recovery runbook</x:v>
      </x:c>
      <x:c r="E14" s="20" t="str">
        <x:v>https://github.com/Azure-Samples/azureai-samples</x:v>
      </x:c>
      <x:c r="F14" s="60" t="str">
        <x:v>O02: existing LZ extension</x:v>
      </x:c>
      <x:c r="G14" s="62"/>
      <x:c r="H14" s="62"/>
      <x:c r="I14" s="62"/>
    </x:row>
    <x:row r="15" ht="48" customHeight="1">
      <x:c r="A15" s="20" t="str">
        <x:v>FinOps and commercials</x:v>
      </x:c>
      <x:c r="B15" s="20" t="str">
        <x:v>Separate platform run cost, model usage, licenses and delivery effort; estimate by driver.</x:v>
      </x:c>
      <x:c r="C15" s="20" t="str">
        <x:v>Infra owns platform estimate; AI/M365 validate usage and licenses</x:v>
      </x:c>
      <x:c r="D15" s="20" t="str">
        <x:v>ROM with usage assumptions and three consumption cases</x:v>
      </x:c>
      <x:c r="E15" s="20" t="str">
        <x:v>https://github.com/Azure-Samples/azure-search-openai-demo</x:v>
      </x:c>
      <x:c r="F15" s="60" t="str">
        <x:v>O02: existing LZ extension</x:v>
      </x:c>
      <x:c r="G15" s="62"/>
      <x:c r="H15" s="62"/>
      <x:c r="I15" s="62"/>
    </x:row>
    <x:row r="16" ht="48" customHeight="1">
      <x:c r="A16" s="20" t="str">
        <x:v>Responsible AI</x:v>
      </x:c>
      <x:c r="B16" s="20" t="str">
        <x:v>Define safety policy, prompt injection tests and escalation to a human.</x:v>
      </x:c>
      <x:c r="C16" s="20" t="str">
        <x:v>Security/AI policy owner accountable</x:v>
      </x:c>
      <x:c r="D16" s="20" t="str">
        <x:v>Safety test report and exception process</x:v>
      </x:c>
      <x:c r="E16" s="20" t="str">
        <x:v>https://learn.microsoft.com/en-us/training/modules/aaai-scale-responsible-ai-governance-multi-agent/</x:v>
      </x:c>
      <x:c r="F16" s="60" t="str">
        <x:v>O02: existing LZ extension</x:v>
      </x:c>
      <x:c r="G16" s="62"/>
      <x:c r="H16" s="62"/>
      <x:c r="I16" s="62"/>
    </x:row>
    <x:row r="17" ht="48" customHeight="1">
      <x:c r="A17" s="20" t="str">
        <x:v>Scope and handover</x:v>
      </x:c>
      <x:c r="B17" s="20" t="str">
        <x:v>Confirm deliverables, exclusions, acceptance, customer duties and change triggers.</x:v>
      </x:c>
      <x:c r="C17" s="20" t="str">
        <x:v>Pursuit lead coordinates; each tower validates its scope</x:v>
      </x:c>
      <x:c r="D17" s="20" t="str">
        <x:v>Signed scope baseline and delivery handover checklist</x:v>
      </x:c>
      <x:c r="E17" s="20" t="str">
        <x:v>https://github.com/microsoft/CopilotStudioSamples</x:v>
      </x:c>
      <x:c r="F17" s="60" t="str">
        <x:v>O02: existing LZ extension</x:v>
      </x:c>
      <x:c r="G17" s="62"/>
      <x:c r="H17" s="62"/>
      <x:c r="I17" s="62"/>
    </x:row>
    <x:row r="18">
      <x:c r="A18" s="1"/>
      <x:c r="B18" s="1"/>
      <x:c r="C18" s="1"/>
      <x:c r="D18" s="1"/>
      <x:c r="E18" s="1"/>
    </x:row>
  </x:sheetData>
  <x:pageMargins left="0.7" right="0.7" top="0.75" bottom="0.75" header="0.3" footer="0.3"/>
  <x:tableParts count="1">
    <x:tablePart xmlns:r="http://schemas.openxmlformats.org/officeDocument/2006/relationships" r:id="R52749e88269a4984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" hidden="0" customWidth="1"/>
    <x:col min="2" max="2" width="30" hidden="0" customWidth="1"/>
    <x:col min="3" max="3" width="12" hidden="0" customWidth="1"/>
    <x:col min="4" max="4" width="50" hidden="0" customWidth="1"/>
    <x:col min="5" max="5" width="60" hidden="0" customWidth="1"/>
    <x:col min="6" max="6" width="70" hidden="0" customWidth="1"/>
    <x:col min="7" max="7" width="65" hidden="0" customWidth="1"/>
    <x:col min="8" max="8" width="52" hidden="0" customWidth="1"/>
    <x:col min="9" max="9" width="65" hidden="0" customWidth="1"/>
    <x:col min="10" max="10" width="16" hidden="0" customWidth="1"/>
    <x:col min="11" max="11" width="4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2" t="str">
        <x:v>Platform proof first; specialist demos support expansion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2" customHeight="1">
      <x:c r="A5" s="19" t="str">
        <x:v>ID</x:v>
      </x:c>
      <x:c r="B5" s="19" t="str">
        <x:v>Demo</x:v>
      </x:c>
      <x:c r="C5" s="19" t="str">
        <x:v>Target week</x:v>
      </x:c>
      <x:c r="D5" s="19" t="str">
        <x:v>Business outcome</x:v>
      </x:c>
      <x:c r="E5" s="19" t="str">
        <x:v>Reference architecture</x:v>
      </x:c>
      <x:c r="F5" s="19" t="str">
        <x:v>Tower dependencies*</x:v>
      </x:c>
      <x:c r="G5" s="19" t="str">
        <x:v>Acceptance criteria</x:v>
      </x:c>
      <x:c r="H5" s="19" t="str">
        <x:v>Cost drivers</x:v>
      </x:c>
      <x:c r="I5" s="19" t="str">
        <x:v>Presales evidence</x:v>
      </x:c>
      <x:c r="J5" s="19" t="str">
        <x:v>Status</x:v>
      </x:c>
      <x:c r="K5" s="19" t="str">
        <x:v>Evidence link</x:v>
      </x:c>
    </x:row>
    <x:row r="6" ht="100" customHeight="1">
      <x:c r="A6" s="20" t="str">
        <x:v>D01</x:v>
      </x:c>
      <x:c r="B6" s="20" t="str">
        <x:v>Enterprise RAG Agent</x:v>
      </x:c>
      <x:c r="C6" s="20" t="n">
        <x:v>2</x:v>
      </x:c>
      <x:c r="D6" s="20" t="str">
        <x:v>Reduce time spent finding approved infrastructure guidance.</x:v>
      </x:c>
      <x:c r="E6" s="20" t="str">
        <x:v>Foundry/model + AI Search + synthetic documents + approved user experience</x:v>
      </x:c>
      <x:c r="F6" s="20" t="str">
        <x:v>Infra: connectivity, identity integration, provisioning and operations. Data: ingestion/ACLs. AI: retrieval and evaluation.</x:v>
      </x:c>
      <x:c r="G6" s="20" t="str">
        <x:v>20 questions; citation checks; access-denied tests; agreed quality threshold.</x:v>
      </x:c>
      <x:c r="H6" s="20" t="str">
        <x:v>Documents, index size, query volume, token usage, hosting, retention</x:v>
      </x:c>
      <x:c r="I6" s="20" t="str">
        <x:v>Five-minute demo; diagram; evaluation report; README; ROM; exclusions</x:v>
      </x:c>
      <x:c r="J6" s="22" t="str">
        <x:v>Not started</x:v>
      </x:c>
      <x:c r="K6" s="22"/>
    </x:row>
    <x:row r="7" ht="100" customHeight="1">
      <x:c r="A7" s="20" t="str">
        <x:v>D02</x:v>
      </x:c>
      <x:c r="B7" s="20" t="str">
        <x:v>IT Service Desk Agent</x:v>
      </x:c>
      <x:c r="C7" s="20" t="n">
        <x:v>3</x:v>
      </x:c>
      <x:c r="D7" s="20" t="str">
        <x:v>Improve FAQ resolution and controlled ticket creation.</x:v>
      </x:c>
      <x:c r="E7" s="20" t="str">
        <x:v>Copilot Studio + knowledge + workflow + mock ticket API; optional M365 channel</x:v>
      </x:c>
      <x:c r="F7" s="20" t="str">
        <x:v>Infra: API/network readiness. AI/Power Platform: agent/workflow. Security: permissions. M365: channel/tenant.</x:v>
      </x:c>
      <x:c r="G7" s="20" t="str">
        <x:v>15 regression cases; explicit approval; duplicate prevention; fallback and failure tests.</x:v>
      </x:c>
      <x:c r="H7" s="20" t="str">
        <x:v>Copilot entitlement/consumption, connector licensing, workflow executions, API hosting</x:v>
      </x:c>
      <x:c r="I7" s="20" t="str">
        <x:v>Five-minute demo; workflow diagram; regression report; dependency matrix</x:v>
      </x:c>
      <x:c r="J7" s="22" t="str">
        <x:v>Not started</x:v>
      </x:c>
      <x:c r="K7" s="22"/>
    </x:row>
    <x:row r="8" ht="100" customHeight="1">
      <x:c r="A8" s="20" t="str">
        <x:v>D03</x:v>
      </x:c>
      <x:c r="B8" s="20" t="str">
        <x:v>Azure Operations Assistant</x:v>
      </x:c>
      <x:c r="C8" s="20" t="n">
        <x:v>5</x:v>
      </x:c>
      <x:c r="D8" s="20" t="str">
        <x:v>Speed investigation using approved read-only Azure operations data.</x:v>
      </x:c>
      <x:c r="E8" s="20" t="str">
        <x:v>Foundry + Agent Framework + read-only tools/MCP; Studio or custom front end if justified</x:v>
      </x:c>
      <x:c r="F8" s="20" t="str">
        <x:v>Infra: operations APIs and platform. AI: routing/tools. Security: scopes. DevOps: pipeline and versioning.</x:v>
      </x:c>
      <x:c r="G8" s="20" t="str">
        <x:v>Bounded steps; unauthorized call fails; API outage fallback; traces; no write permissions.</x:v>
      </x:c>
      <x:c r="H8" s="20" t="str">
        <x:v>Requests, model tokens, tool calls, telemetry retention, app hosting</x:v>
      </x:c>
      <x:c r="I8" s="20" t="str">
        <x:v>Five-minute demo; architecture; tool contract; runbook; landing-zone design; ROM</x:v>
      </x:c>
      <x:c r="J8" s="22" t="str">
        <x:v>Not started</x:v>
      </x:c>
      <x:c r="K8" s="22"/>
    </x:row>
    <x:row r="9" ht="100" customHeight="1">
      <x:c r="A9" s="20" t="str">
        <x:v>D04</x:v>
      </x:c>
      <x:c r="B9" s="20" t="str">
        <x:v>AI platform foundation acceptance</x:v>
      </x:c>
      <x:c r="C9" s="20" t="n">
        <x:v>6</x:v>
      </x:c>
      <x:c r="D9" s="20" t="str">
        <x:v>Remove platform blockers to production for one funded AI workload.</x:v>
      </x:c>
      <x:c r="E9" s="20" t="str">
        <x:v>Existing LZ extension + supported workload + IaC/network/DNS/monitoring/budgets/recovery</x:v>
      </x:c>
      <x:c r="F9" s="20" t="str">
        <x:v>Infra leads platform; DevOps IaC; Security verifies; AI/ENG provide separate workload evidence.</x:v>
      </x:c>
      <x:c r="G9" s="20" t="str">
        <x:v>Reproducible deployment; allowed/prohibited paths; DNS; access; alerts; scoped recovery; handover.</x:v>
      </x:c>
      <x:c r="H9" s="20" t="str">
        <x:v>Selected resource quantities, regions, environments, coverage and telemetry</x:v>
      </x:c>
      <x:c r="I9" s="20" t="str">
        <x:v>Offer O02 evidence pack and architecture/BOM/ROM</x:v>
      </x:c>
      <x:c r="J9" s="22" t="str">
        <x:v>Not started</x:v>
      </x:c>
      <x:c r="K9" s="22"/>
    </x:row>
  </x:sheetData>
  <x:conditionalFormatting sqref="J6:J8">
    <x:cfRule type="containsText" dxfId="4" priority="1" operator="containsText" text="Completed"/>
    <x:cfRule type="containsText" dxfId="5" priority="2" operator="containsText" text="Blocked"/>
  </x:conditionalFormatting>
  <x:dataValidations count="1">
    <x:dataValidation type="list" sqref="J6:J9">
      <x:formula1>"Not started,In progress,Blocked,Completed"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b8f13af3c394fd2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" hidden="0" customWidth="1"/>
    <x:col min="2" max="2" width="38" hidden="0" customWidth="1"/>
    <x:col min="3" max="3" width="13" hidden="0" customWidth="1"/>
    <x:col min="4" max="4" width="40" hidden="0" customWidth="1"/>
    <x:col min="5" max="5" width="46" hidden="0" customWidth="1"/>
    <x:col min="6" max="6" width="48" hidden="0" customWidth="1"/>
    <x:col min="7" max="7" width="68" hidden="0" customWidth="1"/>
    <x:col min="8" max="8" width="68" hidden="0" customWidth="1"/>
    <x:col min="9" max="9" width="66" hidden="0" customWidth="1"/>
    <x:col min="10" max="10" width="66" hidden="0" customWidth="1"/>
    <x:col min="11" max="11" width="65" hidden="0" customWidth="1"/>
    <x:col min="12" max="12" width="64" hidden="0" customWidth="1"/>
    <x:col min="13" max="13" width="68" hidden="0" customWidth="1"/>
    <x:col min="14" max="14" width="55" hidden="0" customWidth="1"/>
    <x:col min="15" max="15" width="53" hidden="0" customWidth="1"/>
    <x:col min="16" max="16" width="16" hidden="0" customWidth="1"/>
    <x:col min="17" max="17" width="28" hidden="0" customWidth="1"/>
    <x:col min="18" max="18" width="5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>
      <x:c r="A2" s="2" t="str">
        <x:v>Three proposed CIS Infra offers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 ht="36" customHeight="1">
      <x:c r="A5" s="26" t="str">
        <x:v>ID</x:v>
      </x:c>
      <x:c r="B5" s="26" t="str">
        <x:v>Offer</x:v>
      </x:c>
      <x:c r="C5" s="26" t="str">
        <x:v>Position</x:v>
      </x:c>
      <x:c r="D5" s="26" t="str">
        <x:v>Buyer</x:v>
      </x:c>
      <x:c r="E5" s="26" t="str">
        <x:v>Buying trigger</x:v>
      </x:c>
      <x:c r="F5" s="26" t="str">
        <x:v>Outcome</x:v>
      </x:c>
      <x:c r="G5" s="26" t="str">
        <x:v>Reference scope</x:v>
      </x:c>
      <x:c r="H5" s="26" t="str">
        <x:v>Deliverables</x:v>
      </x:c>
      <x:c r="I5" s="26" t="str">
        <x:v>Acceptance</x:v>
      </x:c>
      <x:c r="J5" s="26" t="str">
        <x:v>Infra ownership</x:v>
      </x:c>
      <x:c r="K5" s="26" t="str">
        <x:v>Tower work packages</x:v>
      </x:c>
      <x:c r="L5" s="26" t="str">
        <x:v>Prerequisites</x:v>
      </x:c>
      <x:c r="M5" s="26" t="str">
        <x:v>Exclusions / options</x:v>
      </x:c>
      <x:c r="N5" s="26" t="str">
        <x:v>Commercial basis</x:v>
      </x:c>
      <x:c r="O5" s="26" t="str">
        <x:v>Expansion route</x:v>
      </x:c>
      <x:c r="P5" s="26" t="str">
        <x:v>Evidence status</x:v>
      </x:c>
      <x:c r="Q5" s="26" t="str">
        <x:v>Accountable owner</x:v>
      </x:c>
      <x:c r="R5" s="26" t="str">
        <x:v>Source</x:v>
      </x:c>
    </x:row>
    <x:row r="6" ht="110" customHeight="1">
      <x:c r="A6" s="20" t="str">
        <x:v>O01</x:v>
      </x:c>
      <x:c r="B6" s="20" t="str">
        <x:v>AI Platform Readiness Assessment</x:v>
      </x:c>
      <x:c r="C6" s="20" t="str">
        <x:v>Entry</x:v>
      </x:c>
      <x:c r="D6" s="20" t="str">
        <x:v>Platform leader; CIO/budget sponsor</x:v>
      </x:c>
      <x:c r="E6" s="20" t="str">
        <x:v>AI pilot blocked from production; prerequisites or scope uncertain</x:v>
      </x:c>
      <x:c r="F6" s="20" t="str">
        <x:v>Validated platform gaps, deployment route and bounded implementation plan</x:v>
      </x:c>
      <x:c r="G6" s="20" t="str">
        <x:v>Bound workshop/system/source quantities before quote; inspect existing Azure foundation and one nominated workload</x:v>
      </x:c>
      <x:c r="H6" s="20" t="str">
        <x:v>Platform readiness report; architecture options; dependencies; initial BOM/ROM; implementation scope</x:v>
      </x:c>
      <x:c r="I6" s="20" t="str">
        <x:v>Customer accepts findings, assumptions and decisions; unresolved blockers have owners</x:v>
      </x:c>
      <x:c r="J6" s="20" t="str">
        <x:v>Infra leads platform discovery and integrated plan</x:v>
      </x:c>
      <x:c r="K6" s="20" t="str">
        <x:v>SEC: controls; DEV: assets; DAT/ENG: source readiness; AI: runtime and usage</x:v>
      </x:c>
      <x:c r="L6" s="20" t="str">
        <x:v>Tenant access, architecture inventory, workload sponsor, source owner, tower discovery effort</x:v>
      </x:c>
      <x:c r="M6" s="20" t="str">
        <x:v>No implementation; broad data cleanup, enterprise security remediation and SaaS administration excluded</x:v>
      </x:c>
      <x:c r="N6" s="20" t="str">
        <x:v>USD bounded fixed-fee assessment after access/workshop and regional-rate validation</x:v>
      </x:c>
      <x:c r="O6" s="20" t="str">
        <x:v>Implementation extension O02</x:v>
      </x:c>
      <x:c r="P6" s="27" t="str">
        <x:v>Proposed</x:v>
      </x:c>
      <x:c r="Q6" s="27"/>
      <x:c r="R6" s="20" t="str">
        <x:v>Source: CIS Infra Azure AI Platform GTM Proposal V3, 8 Oct 2026. Internal proposal; approval pending.</x:v>
      </x:c>
    </x:row>
    <x:row r="7" ht="110" customHeight="1">
      <x:c r="A7" s="20" t="str">
        <x:v>O02</x:v>
      </x:c>
      <x:c r="B7" s="20" t="str">
        <x:v>Azure AI Platform Foundation Extension</x:v>
      </x:c>
      <x:c r="C7" s="20" t="str">
        <x:v>Primary</x:v>
      </x:c>
      <x:c r="D7" s="20" t="str">
        <x:v>Platform/infrastructure leader with funded workload sponsor</x:v>
      </x:c>
      <x:c r="E7" s="20" t="str">
        <x:v>Existing AI pilot needs an approved production environment</x:v>
      </x:c>
      <x:c r="F7" s="20" t="str">
        <x:v>Bounded platform ready for one approved workload with accepted operations</x:v>
      </x:c>
      <x:c r="G7" s="20" t="str">
        <x:v>Illustrative baseline: mature landing zone; one region; dev + prod; one workload + source; existing hybrid connectivity</x:v>
      </x:c>
      <x:c r="H7" s="20" t="str">
        <x:v>Architecture; resource BOM; connectivity/DNS; allocated platform controls; monitoring; build/test evidence; runbooks</x:v>
      </x:c>
      <x:c r="I7" s="20" t="str">
        <x:v>Platform and workload acceptance separate; connectivity allow/deny tests, agreed recovery and cost-alert tests</x:v>
      </x:c>
      <x:c r="J7" s="20" t="str">
        <x:v>Infra owns contracted platform/network/DNS, capacity, monitoring and platform handover</x:v>
      </x:c>
      <x:c r="K7" s="20" t="str">
        <x:v>SEC: design/tests; DEV: IaC/pipelines; DAT: governance; ENG: ingestion/index; AI: agent/model/tools/evaluation</x:v>
      </x:c>
      <x:c r="L7" s="20" t="str">
        <x:v>Supported SKU/region/capacity, approved data access, signed tower scope and customer approvals</x:v>
      </x:c>
      <x:c r="M7" s="20" t="str">
        <x:v>New enterprise landing zone/WAN, extra regions, SOC, M365/Studio administration and ongoing AI quality are options</x:v>
      </x:c>
      <x:c r="N7" s="20" t="str">
        <x:v>USD implementation fee based on validated WBS, regional delivery costs, effort mix and risk treatment</x:v>
      </x:c>
      <x:c r="O7" s="20" t="str">
        <x:v>Recurring operations O03; additional workloads/regions; new foundations if required</x:v>
      </x:c>
      <x:c r="P7" s="27" t="str">
        <x:v>Proposed</x:v>
      </x:c>
      <x:c r="Q7" s="27"/>
      <x:c r="R7" s="20" t="str">
        <x:v>Source: CIS Infra Azure AI Platform GTM Proposal V3, 8 Oct 2026. Internal proposal; approval pending.</x:v>
      </x:c>
    </x:row>
    <x:row r="8" ht="110" customHeight="1">
      <x:c r="A8" s="20" t="str">
        <x:v>O03</x:v>
      </x:c>
      <x:c r="B8" s="20" t="str">
        <x:v>Managed AI Platform Operations</x:v>
      </x:c>
      <x:c r="C8" s="20" t="str">
        <x:v>Companion</x:v>
      </x:c>
      <x:c r="D8" s="20" t="str">
        <x:v>Platform service owner; operations leader</x:v>
      </x:c>
      <x:c r="E8" s="20" t="str">
        <x:v>Production platform lacks clear support, capacity or cost ownership</x:v>
      </x:c>
      <x:c r="F8" s="20" t="str">
        <x:v>Accountable platform support with explicit resolver routing</x:v>
      </x:c>
      <x:c r="G8" s="20" t="str">
        <x:v>Specify asset counts, environments, hours, incident/change volumes, reporting and recovery duties</x:v>
      </x:c>
      <x:c r="H8" s="20" t="str">
        <x:v>Service schedule; runbooks; monitoring; capacity/cost reporting; incident/change process; support agreements</x:v>
      </x:c>
      <x:c r="I8" s="20" t="str">
        <x:v>Named service owners accept coverage, escalation, access, recovery and service measures</x:v>
      </x:c>
      <x:c r="J8" s="20" t="str">
        <x:v>Infra operates contracted infrastructure; coordinates cost and incident routing</x:v>
      </x:c>
      <x:c r="K8" s="20" t="str">
        <x:v>AI: answer/tool quality; ENG: pipelines; DEV: releases; SEC: contracted security services</x:v>
      </x:c>
      <x:c r="L8" s="20" t="str">
        <x:v>Accepted build; asset inventory; customer access; specialist support commitments; service transition</x:v>
      </x:c>
      <x:c r="M8" s="20" t="str">
        <x:v>No assumed 24x7 specialist support; no model correctness guarantee; enhancements separately scoped</x:v>
      </x:c>
      <x:c r="N8" s="20" t="str">
        <x:v>USD recurring services fee based on assets/coverage; consumption and licenses separate</x:v>
      </x:c>
      <x:c r="O8" s="20" t="str">
        <x:v>Additional assets, coverage, integrations and contracted specialist operations</x:v>
      </x:c>
      <x:c r="P8" s="27" t="str">
        <x:v>Proposed</x:v>
      </x:c>
      <x:c r="Q8" s="27"/>
      <x:c r="R8" s="20" t="str">
        <x:v>Source: CIS Infra Azure AI Platform GTM Proposal V3, 8 Oct 2026. Internal proposal; approval pending.</x:v>
      </x:c>
    </x:row>
  </x:sheetData>
  <x:dataValidations count="1">
    <x:dataValidation type="list" sqref="P6:P8">
      <x:formula1>"Proposed,Validated,Approved"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cdc910f4544eb1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" hidden="0" customWidth="1"/>
    <x:col min="2" max="2" width="16" hidden="0" customWidth="1"/>
    <x:col min="3" max="3" width="62" hidden="0" customWidth="1"/>
    <x:col min="4" max="4" width="68" hidden="0" customWidth="1"/>
    <x:col min="5" max="5" width="40" hidden="0" customWidth="1"/>
    <x:col min="6" max="6" width="62" hidden="0" customWidth="1"/>
    <x:col min="7" max="7" width="60" hidden="0" customWidth="1"/>
    <x:col min="8" max="8" width="40" hidden="0" customWidth="1"/>
    <x:col min="9" max="9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>
      <x:c r="A2" s="2" t="str">
        <x:v>Discovery questions and qualification decisions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</x:row>
    <x:row r="5" ht="36" customHeight="1">
      <x:c r="A5" s="26" t="str">
        <x:v>ID</x:v>
      </x:c>
      <x:c r="B5" s="26" t="str">
        <x:v>Area</x:v>
      </x:c>
      <x:c r="C5" s="26" t="str">
        <x:v>Question</x:v>
      </x:c>
      <x:c r="D5" s="26" t="str">
        <x:v>Evidence required</x:v>
      </x:c>
      <x:c r="E5" s="26" t="str">
        <x:v>Owner to engage</x:v>
      </x:c>
      <x:c r="F5" s="26" t="str">
        <x:v>Decision implication</x:v>
      </x:c>
      <x:c r="G5" s="26" t="str">
        <x:v>Customer response</x:v>
      </x:c>
      <x:c r="H5" s="26" t="str">
        <x:v>Evidence link</x:v>
      </x:c>
      <x:c r="I5" s="26" t="str">
        <x:v>Status</x:v>
      </x:c>
    </x:row>
    <x:row r="6" ht="70" customHeight="1">
      <x:c r="A6" s="20" t="str">
        <x:v>Q01</x:v>
      </x:c>
      <x:c r="B6" s="20" t="str">
        <x:v>Business</x:v>
      </x:c>
      <x:c r="C6" s="20" t="str">
        <x:v>What business process or AI pilot needs production support?</x:v>
      </x:c>
      <x:c r="D6" s="20" t="str">
        <x:v>Problem, baseline, measurable outcome and named workload owner</x:v>
      </x:c>
      <x:c r="E6" s="20" t="str">
        <x:v>Customer workload owner</x:v>
      </x:c>
      <x:c r="F6" s="20" t="str">
        <x:v>No credible workload: defer foundation build</x:v>
      </x:c>
      <x:c r="G6" s="27"/>
      <x:c r="H6" s="27"/>
      <x:c r="I6" s="27" t="str">
        <x:v>Not assessed</x:v>
      </x:c>
    </x:row>
    <x:row r="7" ht="70" customHeight="1">
      <x:c r="A7" s="20" t="str">
        <x:v>Q02</x:v>
      </x:c>
      <x:c r="B7" s="20" t="str">
        <x:v>Funding</x:v>
      </x:c>
      <x:c r="C7" s="20" t="str">
        <x:v>Who sponsors and funds the platform work, and when is the decision?</x:v>
      </x:c>
      <x:c r="D7" s="20" t="str">
        <x:v>Budget route, decision maker, buying process and next decision date</x:v>
      </x:c>
      <x:c r="E7" s="20" t="str">
        <x:v>Account lead/customer sponsor</x:v>
      </x:c>
      <x:c r="F7" s="20" t="str">
        <x:v>Unfunded: qualify before detailed engineering</x:v>
      </x:c>
      <x:c r="G7" s="27"/>
      <x:c r="H7" s="27"/>
      <x:c r="I7" s="27" t="str">
        <x:v>Not assessed</x:v>
      </x:c>
    </x:row>
    <x:row r="8" ht="70" customHeight="1">
      <x:c r="A8" s="20" t="str">
        <x:v>Q03</x:v>
      </x:c>
      <x:c r="B8" s="20" t="str">
        <x:v>Foundation</x:v>
      </x:c>
      <x:c r="C8" s="20" t="str">
        <x:v>What Azure landing zone exists and who can approve changes?</x:v>
      </x:c>
      <x:c r="D8" s="20" t="str">
        <x:v>Architecture, subscriptions, policies, environment inventory and authority</x:v>
      </x:c>
      <x:c r="E8" s="20" t="str">
        <x:v>Customer platform owner</x:v>
      </x:c>
      <x:c r="F8" s="20" t="str">
        <x:v>Unknown: paid readiness assessment</x:v>
      </x:c>
      <x:c r="G8" s="27"/>
      <x:c r="H8" s="27"/>
      <x:c r="I8" s="27" t="str">
        <x:v>Not assessed</x:v>
      </x:c>
    </x:row>
    <x:row r="9" ht="70" customHeight="1">
      <x:c r="A9" s="20" t="str">
        <x:v>Q04</x:v>
      </x:c>
      <x:c r="B9" s="20" t="str">
        <x:v>Network</x:v>
      </x:c>
      <x:c r="C9" s="20" t="str">
        <x:v>Which ingress, egress, private DNS and hybrid paths are required?</x:v>
      </x:c>
      <x:c r="D9" s="20" t="str">
        <x:v>Approved paths, firewall rules, existing connectivity and connectivity owners</x:v>
      </x:c>
      <x:c r="E9" s="20" t="str">
        <x:v>Infra/customer network owner</x:v>
      </x:c>
      <x:c r="F9" s="20" t="str">
        <x:v>New WAN or unsupported route: separate work package</x:v>
      </x:c>
      <x:c r="G9" s="27"/>
      <x:c r="H9" s="27"/>
      <x:c r="I9" s="27" t="str">
        <x:v>Not assessed</x:v>
      </x:c>
    </x:row>
    <x:row r="10" ht="70" customHeight="1">
      <x:c r="A10" s="20" t="str">
        <x:v>Q05</x:v>
      </x:c>
      <x:c r="B10" s="20" t="str">
        <x:v>Runtime</x:v>
      </x:c>
      <x:c r="C10" s="20" t="str">
        <x:v>Which models, runtimes, tools, regions and quotas are needed?</x:v>
      </x:c>
      <x:c r="D10" s="20" t="str">
        <x:v>Supported deployment route, SKU/region availability and confirmed capacity</x:v>
      </x:c>
      <x:c r="E10" s="20" t="str">
        <x:v>AI lead</x:v>
      </x:c>
      <x:c r="F10" s="20" t="str">
        <x:v>Unresolved capacity: no fixed implementation commitment</x:v>
      </x:c>
      <x:c r="G10" s="27"/>
      <x:c r="H10" s="27"/>
      <x:c r="I10" s="27" t="str">
        <x:v>Not assessed</x:v>
      </x:c>
    </x:row>
    <x:row r="11" ht="70" customHeight="1">
      <x:c r="A11" s="20" t="str">
        <x:v>Q06</x:v>
      </x:c>
      <x:c r="B11" s="20" t="str">
        <x:v>Data</x:v>
      </x:c>
      <x:c r="C11" s="20" t="str">
        <x:v>Can the nominated workload use approved enterprise data?</x:v>
      </x:c>
      <x:c r="D11" s="20" t="str">
        <x:v>Data owner, rights, classification, sample, ACLs, freshness and volumes</x:v>
      </x:c>
      <x:c r="E11" s="20" t="str">
        <x:v>Data/Data Engineering/customer owner</x:v>
      </x:c>
      <x:c r="F11" s="20" t="str">
        <x:v>Unapproved or poor data: assess or exclude remediation</x:v>
      </x:c>
      <x:c r="G11" s="27"/>
      <x:c r="H11" s="27"/>
      <x:c r="I11" s="27" t="str">
        <x:v>Not assessed</x:v>
      </x:c>
    </x:row>
    <x:row r="12" ht="70" customHeight="1">
      <x:c r="A12" s="20" t="str">
        <x:v>Q07</x:v>
      </x:c>
      <x:c r="B12" s="20" t="str">
        <x:v>Integration</x:v>
      </x:c>
      <x:c r="C12" s="20" t="str">
        <x:v>Which APIs/connectors/actions are required and who owns them?</x:v>
      </x:c>
      <x:c r="D12" s="20" t="str">
        <x:v>API contract, access, licensing, action permissions and test environment</x:v>
      </x:c>
      <x:c r="E12" s="20" t="str">
        <x:v>AI/API owner</x:v>
      </x:c>
      <x:c r="F12" s="20" t="str">
        <x:v>Unknown integrations: assessment and explicit quantity limits</x:v>
      </x:c>
      <x:c r="G12" s="27"/>
      <x:c r="H12" s="27"/>
      <x:c r="I12" s="27" t="str">
        <x:v>Not assessed</x:v>
      </x:c>
    </x:row>
    <x:row r="13" ht="70" customHeight="1">
      <x:c r="A13" s="20" t="str">
        <x:v>Q08</x:v>
      </x:c>
      <x:c r="B13" s="20" t="str">
        <x:v>Security</x:v>
      </x:c>
      <x:c r="C13" s="20" t="str">
        <x:v>Who defines controls and accepts residual risk?</x:v>
      </x:c>
      <x:c r="D13" s="20" t="str">
        <x:v>Threat/control baseline, identity model, risk approver and negative tests</x:v>
      </x:c>
      <x:c r="E13" s="20" t="str">
        <x:v>Security/customer risk owner</x:v>
      </x:c>
      <x:c r="F13" s="20" t="str">
        <x:v>Unowned exception: block release commitment</x:v>
      </x:c>
      <x:c r="G13" s="27"/>
      <x:c r="H13" s="27"/>
      <x:c r="I13" s="27" t="str">
        <x:v>Not assessed</x:v>
      </x:c>
    </x:row>
    <x:row r="14" ht="70" customHeight="1">
      <x:c r="A14" s="20" t="str">
        <x:v>Q09</x:v>
      </x:c>
      <x:c r="B14" s="20" t="str">
        <x:v>Delivery</x:v>
      </x:c>
      <x:c r="C14" s="20" t="str">
        <x:v>Are specialist outputs estimated and staffed?</x:v>
      </x:c>
      <x:c r="D14" s="20" t="str">
        <x:v>Named leads, committed role days, dates, acceptance and support</x:v>
      </x:c>
      <x:c r="E14" s="20" t="str">
        <x:v>Tower delivery leads</x:v>
      </x:c>
      <x:c r="F14" s="20" t="str">
        <x:v>Uncommitted critical dependency: block implementation quote</x:v>
      </x:c>
      <x:c r="G14" s="27"/>
      <x:c r="H14" s="27"/>
      <x:c r="I14" s="27" t="str">
        <x:v>Not assessed</x:v>
      </x:c>
    </x:row>
    <x:row r="15" ht="70" customHeight="1">
      <x:c r="A15" s="20" t="str">
        <x:v>Q10</x:v>
      </x:c>
      <x:c r="B15" s="20" t="str">
        <x:v>Acceptance</x:v>
      </x:c>
      <x:c r="C15" s="20" t="str">
        <x:v>What evidence proves platform and workload acceptance?</x:v>
      </x:c>
      <x:c r="D15" s="20" t="str">
        <x:v>Separate test sets, thresholds, reviewers and sign-off route</x:v>
      </x:c>
      <x:c r="E15" s="20" t="str">
        <x:v>Platform and workload owners</x:v>
      </x:c>
      <x:c r="F15" s="20" t="str">
        <x:v>Undefined acceptance: resolve before SOW</x:v>
      </x:c>
      <x:c r="G15" s="27"/>
      <x:c r="H15" s="27"/>
      <x:c r="I15" s="27" t="str">
        <x:v>Not assessed</x:v>
      </x:c>
    </x:row>
    <x:row r="16" ht="70" customHeight="1">
      <x:c r="A16" s="20" t="str">
        <x:v>Q11</x:v>
      </x:c>
      <x:c r="B16" s="20" t="str">
        <x:v>Operations</x:v>
      </x:c>
      <x:c r="C16" s="20" t="str">
        <x:v>Who supports each component after handover?</x:v>
      </x:c>
      <x:c r="D16" s="20" t="str">
        <x:v>Coverage, incident entry point, resolver routing, recovery and maintenance</x:v>
      </x:c>
      <x:c r="E16" s="20" t="str">
        <x:v>Service owners</x:v>
      </x:c>
      <x:c r="F16" s="20" t="str">
        <x:v>No support owner: block production release</x:v>
      </x:c>
      <x:c r="G16" s="27"/>
      <x:c r="H16" s="27"/>
      <x:c r="I16" s="27" t="str">
        <x:v>Not assessed</x:v>
      </x:c>
    </x:row>
    <x:row r="17" ht="70" customHeight="1">
      <x:c r="A17" s="20" t="str">
        <x:v>Q12</x:v>
      </x:c>
      <x:c r="B17" s="20" t="str">
        <x:v>Economics</x:v>
      </x:c>
      <x:c r="C17" s="20" t="str">
        <x:v>What drives service fees, Azure use and license costs?</x:v>
      </x:c>
      <x:c r="D17" s="20" t="str">
        <x:v>Volumes, usage, approved rates, licenses, cost owner and assumptions</x:v>
      </x:c>
      <x:c r="E17" s="20" t="str">
        <x:v>Infra/AI/M365/Finance</x:v>
      </x:c>
      <x:c r="F17" s="20" t="str">
        <x:v>Unvalidated estimate: label ROM; do not quote as approved</x:v>
      </x:c>
      <x:c r="G17" s="27"/>
      <x:c r="H17" s="27"/>
      <x:c r="I17" s="27" t="str">
        <x:v>Not assessed</x:v>
      </x:c>
    </x:row>
    <x:row r="18">
      <x:c r="A18" s="51"/>
      <x:c r="B18" s="51"/>
      <x:c r="C18" s="51"/>
      <x:c r="D18" s="51"/>
      <x:c r="E18" s="51"/>
      <x:c r="F18" s="51"/>
      <x:c r="G18" s="51"/>
      <x:c r="H18" s="51"/>
      <x:c r="I18" s="51"/>
    </x:row>
    <x:row r="19">
      <x:c r="A19" s="51"/>
      <x:c r="B19" s="51"/>
      <x:c r="C19" s="51"/>
      <x:c r="D19" s="51"/>
      <x:c r="E19" s="51"/>
      <x:c r="F19" s="51"/>
      <x:c r="G19" s="51"/>
      <x:c r="H19" s="51"/>
      <x:c r="I19" s="51"/>
    </x:row>
    <x:row r="20">
      <x:c r="A20" s="51"/>
      <x:c r="B20" s="51"/>
      <x:c r="C20" s="51"/>
      <x:c r="D20" s="51"/>
      <x:c r="E20" s="51"/>
      <x:c r="F20" s="51"/>
      <x:c r="G20" s="51"/>
      <x:c r="H20" s="51"/>
      <x:c r="I20" s="51"/>
    </x:row>
    <x:row r="21">
      <x:c r="A21" s="52" t="str">
        <x:v>Candidate ID</x:v>
      </x:c>
      <x:c r="B21" s="52" t="str">
        <x:v>Account</x:v>
      </x:c>
      <x:c r="C21" s="52" t="str">
        <x:v>Workload / platform blocker</x:v>
      </x:c>
      <x:c r="D21" s="52" t="str">
        <x:v>Sponsor / source owner</x:v>
      </x:c>
      <x:c r="E21" s="52" t="str">
        <x:v>Funding / next decision</x:v>
      </x:c>
      <x:c r="F21" s="52" t="str">
        <x:v>Critical gaps</x:v>
      </x:c>
      <x:c r="G21" s="52" t="str">
        <x:v>Recommendation</x:v>
      </x:c>
      <x:c r="H21" s="52" t="str">
        <x:v>Next action / owner</x:v>
      </x:c>
      <x:c r="I21" s="52" t="str">
        <x:v>Evidence status</x:v>
      </x:c>
    </x:row>
    <x:row r="22" ht="65" customHeight="1">
      <x:c r="A22" s="52" t="str">
        <x:v>C01</x:v>
      </x:c>
      <x:c r="B22" s="53"/>
      <x:c r="C22" s="53"/>
      <x:c r="D22" s="53"/>
      <x:c r="E22" s="53"/>
      <x:c r="F22" s="53"/>
      <x:c r="G22" s="53" t="str">
        <x:v>Unassessed</x:v>
      </x:c>
      <x:c r="H22" s="53"/>
      <x:c r="I22" s="53" t="str">
        <x:v>Proposed</x:v>
      </x:c>
    </x:row>
    <x:row r="23" ht="65" customHeight="1">
      <x:c r="A23" s="52" t="str">
        <x:v>C02</x:v>
      </x:c>
      <x:c r="B23" s="53"/>
      <x:c r="C23" s="53"/>
      <x:c r="D23" s="53"/>
      <x:c r="E23" s="53"/>
      <x:c r="F23" s="53"/>
      <x:c r="G23" s="53" t="str">
        <x:v>Unassessed</x:v>
      </x:c>
      <x:c r="H23" s="53"/>
      <x:c r="I23" s="53" t="str">
        <x:v>Proposed</x:v>
      </x:c>
    </x:row>
    <x:row r="24" ht="65" customHeight="1">
      <x:c r="A24" s="52" t="str">
        <x:v>C03</x:v>
      </x:c>
      <x:c r="B24" s="53"/>
      <x:c r="C24" s="53"/>
      <x:c r="D24" s="53"/>
      <x:c r="E24" s="53"/>
      <x:c r="F24" s="53"/>
      <x:c r="G24" s="53" t="str">
        <x:v>Unassessed</x:v>
      </x:c>
      <x:c r="H24" s="53"/>
      <x:c r="I24" s="53" t="str">
        <x:v>Proposed</x:v>
      </x:c>
    </x:row>
  </x:sheetData>
  <x:dataValidations count="3">
    <x:dataValidation type="list" sqref="I6:I17">
      <x:formula1>"Not assessed,Evidence received,Blocker,Resolved"</x:formula1>
    </x:dataValidation>
    <x:dataValidation type="list" sqref="G22:G24">
      <x:formula1>"Unassessed,Proceed,Paid assessment,Decline"</x:formula1>
    </x:dataValidation>
    <x:dataValidation type="list" sqref="I22:I24">
      <x:formula1>"Proposed,Validated,Approved"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e86df1db4d7e4eb3"/>
    <x:tablePart xmlns:r="http://schemas.openxmlformats.org/officeDocument/2006/relationships" r:id="Reb4806b18f914038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" hidden="0" customWidth="1"/>
    <x:col min="2" max="2" width="18" hidden="0" customWidth="1"/>
    <x:col min="3" max="3" width="32" hidden="0" customWidth="1"/>
    <x:col min="4" max="4" width="70" hidden="0" customWidth="1"/>
    <x:col min="5" max="5" width="43" hidden="0" customWidth="1"/>
    <x:col min="6" max="6" width="65" hidden="0" customWidth="1"/>
    <x:col min="7" max="7" width="68" hidden="0" customWidth="1"/>
    <x:col min="8" max="8" width="17" hidden="0" customWidth="1"/>
    <x:col min="9" max="9" width="50" hidden="0" customWidth="1"/>
    <x:col min="10" max="10" width="60" hidden="0" customWidth="1"/>
    <x:col min="11" max="11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2" t="str">
        <x:v>Reusable asset register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6" customHeight="1">
      <x:c r="A5" s="26" t="str">
        <x:v>ID</x:v>
      </x:c>
      <x:c r="B5" s="26" t="str">
        <x:v>Offer</x:v>
      </x:c>
      <x:c r="C5" s="26" t="str">
        <x:v>Asset</x:v>
      </x:c>
      <x:c r="D5" s="26" t="str">
        <x:v>Required content</x:v>
      </x:c>
      <x:c r="E5" s="26" t="str">
        <x:v>Proposed owner</x:v>
      </x:c>
      <x:c r="F5" s="26" t="str">
        <x:v>Candidate location</x:v>
      </x:c>
      <x:c r="G5" s="26" t="str">
        <x:v>Acceptance evidence</x:v>
      </x:c>
      <x:c r="H5" s="26" t="str">
        <x:v>Evidence status</x:v>
      </x:c>
      <x:c r="I5" s="26" t="str">
        <x:v>Approved location / commit</x:v>
      </x:c>
      <x:c r="J5" s="26" t="str">
        <x:v>License / support / gaps</x:v>
      </x:c>
      <x:c r="K5" s="26" t="str">
        <x:v>Validation date</x:v>
      </x:c>
    </x:row>
    <x:row r="6" ht="70" customHeight="1">
      <x:c r="A6" s="20" t="str">
        <x:v>A01</x:v>
      </x:c>
      <x:c r="B6" s="20" t="str">
        <x:v>O01</x:v>
      </x:c>
      <x:c r="C6" s="20" t="str">
        <x:v>Readiness questionnaire</x:v>
      </x:c>
      <x:c r="D6" s="20" t="str">
        <x:v>Platform, data, runtime, security, integration, operations and economics questions</x:v>
      </x:c>
      <x:c r="E6" s="20" t="str">
        <x:v>Infra</x:v>
      </x:c>
      <x:c r="F6" s="20" t="str">
        <x:v>Qualification tab</x:v>
      </x:c>
      <x:c r="G6" s="20" t="str">
        <x:v>All critical unknowns have owner and disposition</x:v>
      </x:c>
      <x:c r="H6" s="27" t="str">
        <x:v>Proposed</x:v>
      </x:c>
      <x:c r="I6" s="27"/>
      <x:c r="J6" s="27"/>
      <x:c r="K6" s="27"/>
    </x:row>
    <x:row r="7" ht="70" customHeight="1">
      <x:c r="A7" s="20" t="str">
        <x:v>A02</x:v>
      </x:c>
      <x:c r="B7" s="20" t="str">
        <x:v>O02</x:v>
      </x:c>
      <x:c r="C7" s="20" t="str">
        <x:v>Architecture pattern</x:v>
      </x:c>
      <x:c r="D7" s="20" t="str">
        <x:v>Existing Azure foundation extension with explicit trust, network, identity and data flows</x:v>
      </x:c>
      <x:c r="E7" s="20" t="str">
        <x:v>Infra + tower design leads</x:v>
      </x:c>
      <x:c r="F7" s="20"/>
      <x:c r="G7" s="20" t="str">
        <x:v>Selected services/SKUs/regions and allow/deny paths validated</x:v>
      </x:c>
      <x:c r="H7" s="27" t="str">
        <x:v>Proposed</x:v>
      </x:c>
      <x:c r="I7" s="27"/>
      <x:c r="J7" s="27"/>
      <x:c r="K7" s="27"/>
    </x:row>
    <x:row r="8" ht="70" customHeight="1">
      <x:c r="A8" s="20" t="str">
        <x:v>A03</x:v>
      </x:c>
      <x:c r="B8" s="20" t="str">
        <x:v>O02</x:v>
      </x:c>
      <x:c r="C8" s="20" t="str">
        <x:v>IaC and pipeline assets</x:v>
      </x:c>
      <x:c r="D8" s="20" t="str">
        <x:v>Versioned Terraform mapping/modules, scanning, promotion, drift and rollback</x:v>
      </x:c>
      <x:c r="E8" s="20" t="str">
        <x:v>DevOps; Infra boundary to agree</x:v>
      </x:c>
      <x:c r="F8" s="20" t="str">
        <x:v>https://github.com/Azure/AI-Landing-Zones</x:v>
      </x:c>
      <x:c r="G8" s="20" t="str">
        <x:v>Supported resources/configuration, licensing and maintenance owner confirmed</x:v>
      </x:c>
      <x:c r="H8" s="27" t="str">
        <x:v>Proposed</x:v>
      </x:c>
      <x:c r="I8" s="27"/>
      <x:c r="J8" s="27"/>
      <x:c r="K8" s="27"/>
    </x:row>
    <x:row r="9" ht="70" customHeight="1">
      <x:c r="A9" s="20" t="str">
        <x:v>A04</x:v>
      </x:c>
      <x:c r="B9" s="20" t="str">
        <x:v>O02</x:v>
      </x:c>
      <x:c r="C9" s="20" t="str">
        <x:v>Platform demo</x:v>
      </x:c>
      <x:c r="D9" s="20" t="str">
        <x:v>Deployment, DNS/connectivity, identity tests, monitoring, alerts and scoped recovery</x:v>
      </x:c>
      <x:c r="E9" s="20" t="str">
        <x:v>Infra + DevOps</x:v>
      </x:c>
      <x:c r="F9" s="20" t="str">
        <x:v>Demo Portfolio</x:v>
      </x:c>
      <x:c r="G9" s="20" t="str">
        <x:v>Reproducible deployment and acceptance evidence retained</x:v>
      </x:c>
      <x:c r="H9" s="27" t="str">
        <x:v>Proposed</x:v>
      </x:c>
      <x:c r="I9" s="27"/>
      <x:c r="J9" s="27"/>
      <x:c r="K9" s="27"/>
    </x:row>
    <x:row r="10" ht="70" customHeight="1">
      <x:c r="A10" s="20" t="str">
        <x:v>A05</x:v>
      </x:c>
      <x:c r="B10" s="20" t="str">
        <x:v>O02</x:v>
      </x:c>
      <x:c r="C10" s="20" t="str">
        <x:v>Representative RAG workload</x:v>
      </x:c>
      <x:c r="D10" s="20" t="str">
        <x:v>One source and agreed evaluation set; permission and failure tests</x:v>
      </x:c>
      <x:c r="E10" s="20" t="str">
        <x:v>AI + Data Engineering</x:v>
      </x:c>
      <x:c r="F10" s="20" t="str">
        <x:v>https://github.com/Azure-Samples/azure-search-openai-demo</x:v>
      </x:c>
      <x:c r="G10" s="20" t="str">
        <x:v>Workload acceptance separate from platform; API/version compatibility recorded</x:v>
      </x:c>
      <x:c r="H10" s="27" t="str">
        <x:v>Proposed</x:v>
      </x:c>
      <x:c r="I10" s="27"/>
      <x:c r="J10" s="27"/>
      <x:c r="K10" s="27"/>
    </x:row>
    <x:row r="11" ht="70" customHeight="1">
      <x:c r="A11" s="20" t="str">
        <x:v>A06</x:v>
      </x:c>
      <x:c r="B11" s="20" t="str">
        <x:v>O02</x:v>
      </x:c>
      <x:c r="C11" s="20" t="str">
        <x:v>Security evidence</x:v>
      </x:c>
      <x:c r="D11" s="20" t="str">
        <x:v>Threat review, control baseline, positive/negative access and misuse tests</x:v>
      </x:c>
      <x:c r="E11" s="20" t="str">
        <x:v>Security + AI</x:v>
      </x:c>
      <x:c r="F11" s="20"/>
      <x:c r="G11" s="20" t="str">
        <x:v>Critical findings resolved or authorized risk treatment recorded</x:v>
      </x:c>
      <x:c r="H11" s="27" t="str">
        <x:v>Proposed</x:v>
      </x:c>
      <x:c r="I11" s="27"/>
      <x:c r="J11" s="27"/>
      <x:c r="K11" s="27"/>
    </x:row>
    <x:row r="12" ht="70" customHeight="1">
      <x:c r="A12" s="20" t="str">
        <x:v>A07</x:v>
      </x:c>
      <x:c r="B12" s="20" t="str">
        <x:v>O01/O02/O03</x:v>
      </x:c>
      <x:c r="C12" s="20" t="str">
        <x:v>Estimate and BOM</x:v>
      </x:c>
      <x:c r="D12" s="20" t="str">
        <x:v>Quantities, work packages, approved rates, risk, cloud/license cost drivers</x:v>
      </x:c>
      <x:c r="E12" s="20" t="str">
        <x:v>Infra + tower leads + Finance</x:v>
      </x:c>
      <x:c r="F12" s="20" t="str">
        <x:v>Commercial Model</x:v>
      </x:c>
      <x:c r="G12" s="20" t="str">
        <x:v>Assumptions traceable; no duplicate shared cost or tower revenue</x:v>
      </x:c>
      <x:c r="H12" s="27" t="str">
        <x:v>Proposed</x:v>
      </x:c>
      <x:c r="I12" s="27"/>
      <x:c r="J12" s="27"/>
      <x:c r="K12" s="27"/>
    </x:row>
    <x:row r="13" ht="70" customHeight="1">
      <x:c r="A13" s="20" t="str">
        <x:v>A08</x:v>
      </x:c>
      <x:c r="B13" s="20" t="str">
        <x:v>O02/O03</x:v>
      </x:c>
      <x:c r="C13" s="20" t="str">
        <x:v>Operations runbooks</x:v>
      </x:c>
      <x:c r="D13" s="20" t="str">
        <x:v>Component inventory, incident routing, recovery, access and support coverage</x:v>
      </x:c>
      <x:c r="E13" s="20" t="str">
        <x:v>Infra + service owners</x:v>
      </x:c>
      <x:c r="F13" s="20"/>
      <x:c r="G13" s="20" t="str">
        <x:v>Platform and specialist owners accept handover</x:v>
      </x:c>
      <x:c r="H13" s="27" t="str">
        <x:v>Proposed</x:v>
      </x:c>
      <x:c r="I13" s="27"/>
      <x:c r="J13" s="27"/>
      <x:c r="K13" s="27"/>
    </x:row>
    <x:row r="14" ht="70" customHeight="1">
      <x:c r="A14" s="20" t="str">
        <x:v>A09</x:v>
      </x:c>
      <x:c r="B14" s="20" t="str">
        <x:v>All</x:v>
      </x:c>
      <x:c r="C14" s="20" t="str">
        <x:v>Offer cards and seller deck</x:v>
      </x:c>
      <x:c r="D14" s="20" t="str">
        <x:v>Buyer, trigger, scope, evidence, value, commercial basis and objection responses</x:v>
      </x:c>
      <x:c r="E14" s="20" t="str">
        <x:v>Infra offering owner + account lead</x:v>
      </x:c>
      <x:c r="F14" s="20" t="str">
        <x:v>Offer Cards</x:v>
      </x:c>
      <x:c r="G14" s="20" t="str">
        <x:v>Scope, branding and alliance positioning approved</x:v>
      </x:c>
      <x:c r="H14" s="27" t="str">
        <x:v>Proposed</x:v>
      </x:c>
      <x:c r="I14" s="27"/>
      <x:c r="J14" s="27"/>
      <x:c r="K14" s="27"/>
    </x:row>
    <x:row r="15" ht="70" customHeight="1">
      <x:c r="A15" s="20" t="str">
        <x:v>A10</x:v>
      </x:c>
      <x:c r="B15" s="20" t="str">
        <x:v>All</x:v>
      </x:c>
      <x:c r="C15" s="20" t="str">
        <x:v>Internal capability reuse</x:v>
      </x:c>
      <x:c r="D15" s="20" t="str">
        <x:v>Candidate Cognizant Agent Foundry/Neuro AI/Copilot assets; not assumed available</x:v>
      </x:c>
      <x:c r="E15" s="20" t="str">
        <x:v>Relevant asset owner</x:v>
      </x:c>
      <x:c r="F15" s="20" t="str">
        <x:v>Proposal V3 source register</x:v>
      </x:c>
      <x:c r="G15" s="20" t="str">
        <x:v>Actual access, license, compatibility, support and tower ownership validated</x:v>
      </x:c>
      <x:c r="H15" s="27" t="str">
        <x:v>Proposed</x:v>
      </x:c>
      <x:c r="I15" s="27"/>
      <x:c r="J15" s="27"/>
      <x:c r="K15" s="27"/>
    </x:row>
  </x:sheetData>
  <x:dataValidations count="1">
    <x:dataValidation type="list" sqref="H6:H15">
      <x:formula1>"Proposed,Validated,Approved"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d2b64d854f8475e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4" hidden="0" customWidth="1"/>
    <x:col min="2" max="2" width="20" hidden="0" customWidth="1"/>
    <x:col min="3" max="3" width="39" hidden="0" customWidth="1"/>
    <x:col min="4" max="4" width="17" hidden="0" customWidth="1"/>
    <x:col min="5" max="5" width="66" hidden="0" customWidth="1"/>
    <x:col min="6" max="6" width="66" hidden="0" customWidth="1"/>
    <x:col min="7" max="7" width="35" hidden="0" customWidth="1"/>
    <x:col min="8" max="8" width="65" hidden="0" customWidth="1"/>
    <x:col min="9" max="9" width="38" hidden="0" customWidth="1"/>
    <x:col min="10" max="10" width="17" hidden="0" customWidth="1"/>
    <x:col min="11" max="11" width="18" hidden="0" customWidth="1"/>
    <x:col min="12" max="12" width="19" hidden="0" customWidth="1"/>
    <x:col min="13" max="13" width="50" hidden="0" customWidth="1"/>
    <x:col min="14" max="14" width="45" hidden="0" customWidth="1"/>
    <x:col min="15" max="15" width="45" hidden="0" customWidth="1"/>
    <x:col min="16" max="16" width="2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s="2" t="str">
        <x:v>Illustrative WBS and tower commitment register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36" customHeight="1">
      <x:c r="A5" s="26" t="str">
        <x:v>ID</x:v>
      </x:c>
      <x:c r="B5" s="26" t="str">
        <x:v>Accountable tower</x:v>
      </x:c>
      <x:c r="C5" s="26" t="str">
        <x:v>Work package</x:v>
      </x:c>
      <x:c r="D5" s="26" t="str">
        <x:v>Reference role days*</x:v>
      </x:c>
      <x:c r="E5" s="26" t="str">
        <x:v>Required inputs</x:v>
      </x:c>
      <x:c r="F5" s="26" t="str">
        <x:v>Deliverable</x:v>
      </x:c>
      <x:c r="G5" s="26" t="str">
        <x:v>Lead role to nominate</x:v>
      </x:c>
      <x:c r="H5" s="26" t="str">
        <x:v>Acceptance</x:v>
      </x:c>
      <x:c r="I5" s="26" t="str">
        <x:v>Named lead / backup</x:v>
      </x:c>
      <x:c r="J5" s="26" t="str">
        <x:v>Committed role days</x:v>
      </x:c>
      <x:c r="K5" s="26" t="str">
        <x:v>Needed date</x:v>
      </x:c>
      <x:c r="L5" s="26" t="str">
        <x:v>Commitment status</x:v>
      </x:c>
      <x:c r="M5" s="26" t="str">
        <x:v>Fallback / escalation</x:v>
      </x:c>
      <x:c r="N5" s="26" t="str">
        <x:v>Cost treatment</x:v>
      </x:c>
      <x:c r="O5" s="26" t="str">
        <x:v>Support coverage</x:v>
      </x:c>
      <x:c r="P5" s="58" t="str">
        <x:v>Estimate role days (editable)*</x:v>
      </x:c>
    </x:row>
    <x:row r="6" ht="85" customHeight="1">
      <x:c r="A6" s="20" t="str">
        <x:v>W01</x:v>
      </x:c>
      <x:c r="B6" s="20" t="str">
        <x:v>Infra</x:v>
      </x:c>
      <x:c r="C6" s="20" t="str">
        <x:v>Platform architecture</x:v>
      </x:c>
      <x:c r="D6" s="20" t="n">
        <x:v>12</x:v>
      </x:c>
      <x:c r="E6" s="20" t="str">
        <x:v>Existing LZ inventory + AI runtime requirements</x:v>
      </x:c>
      <x:c r="F6" s="20" t="str">
        <x:v>Platform design, quantities, interfaces and recovery boundaries</x:v>
      </x:c>
      <x:c r="G6" s="20" t="str">
        <x:v>Infra lead</x:v>
      </x:c>
      <x:c r="H6" s="20" t="str">
        <x:v>Platform and tower design review accepted</x:v>
      </x:c>
      <x:c r="I6" s="27"/>
      <x:c r="J6" s="27"/>
      <x:c r="K6" s="27"/>
      <x:c r="L6" s="27" t="str">
        <x:v>Requested</x:v>
      </x:c>
      <x:c r="M6" s="27"/>
      <x:c r="N6" s="27"/>
      <x:c r="O6" s="27"/>
      <x:c r="P6" s="55" t="n">
        <x:v>12</x:v>
      </x:c>
    </x:row>
    <x:row r="7" ht="85" customHeight="1">
      <x:c r="A7" s="20" t="str">
        <x:v>W02</x:v>
      </x:c>
      <x:c r="B7" s="20" t="str">
        <x:v>Infra</x:v>
      </x:c>
      <x:c r="C7" s="20" t="str">
        <x:v>Network and platform engineering</x:v>
      </x:c>
      <x:c r="D7" s="20" t="n">
        <x:v>20</x:v>
      </x:c>
      <x:c r="E7" s="20" t="str">
        <x:v>Design, access, selected SKU/region, existing hybrid connectivity</x:v>
      </x:c>
      <x:c r="F7" s="20" t="str">
        <x:v>Agreed resources, DNS, network, platform monitoring and controls</x:v>
      </x:c>
      <x:c r="G7" s="20" t="str">
        <x:v>Infra engineering lead</x:v>
      </x:c>
      <x:c r="H7" s="20" t="str">
        <x:v>Connectivity allow/deny matrix and resource tests</x:v>
      </x:c>
      <x:c r="I7" s="27"/>
      <x:c r="J7" s="27"/>
      <x:c r="K7" s="27"/>
      <x:c r="L7" s="27" t="str">
        <x:v>Requested</x:v>
      </x:c>
      <x:c r="M7" s="27"/>
      <x:c r="N7" s="27"/>
      <x:c r="O7" s="27"/>
      <x:c r="P7" s="55" t="n">
        <x:v>20</x:v>
      </x:c>
    </x:row>
    <x:row r="8" ht="85" customHeight="1">
      <x:c r="A8" s="20" t="str">
        <x:v>W03</x:v>
      </x:c>
      <x:c r="B8" s="20" t="str">
        <x:v>Infra</x:v>
      </x:c>
      <x:c r="C8" s="20" t="str">
        <x:v>Integration management and handover</x:v>
      </x:c>
      <x:c r="D8" s="20" t="n">
        <x:v>8</x:v>
      </x:c>
      <x:c r="E8" s="20" t="str">
        <x:v>Tower plans, test evidence, named service owners</x:v>
      </x:c>
      <x:c r="F8" s="20" t="str">
        <x:v>Integrated plan, escalation, platform runbooks and handover</x:v>
      </x:c>
      <x:c r="G8" s="20" t="str">
        <x:v>Infra delivery lead</x:v>
      </x:c>
      <x:c r="H8" s="20" t="str">
        <x:v>Customer platform owner accepts handover</x:v>
      </x:c>
      <x:c r="I8" s="27"/>
      <x:c r="J8" s="27"/>
      <x:c r="K8" s="27"/>
      <x:c r="L8" s="27" t="str">
        <x:v>Requested</x:v>
      </x:c>
      <x:c r="M8" s="27"/>
      <x:c r="N8" s="27"/>
      <x:c r="O8" s="27"/>
      <x:c r="P8" s="55" t="n">
        <x:v>8</x:v>
      </x:c>
    </x:row>
    <x:row r="9" ht="85" customHeight="1">
      <x:c r="A9" s="20" t="str">
        <x:v>W04</x:v>
      </x:c>
      <x:c r="B9" s="20" t="str">
        <x:v>Security</x:v>
      </x:c>
      <x:c r="C9" s="20" t="str">
        <x:v>Design and verification</x:v>
      </x:c>
      <x:c r="D9" s="20" t="n">
        <x:v>8</x:v>
      </x:c>
      <x:c r="E9" s="20" t="str">
        <x:v>Architecture, classification, identity and tool requirements</x:v>
      </x:c>
      <x:c r="F9" s="20" t="str">
        <x:v>Threat review, control baseline, risk/tests and exceptions</x:v>
      </x:c>
      <x:c r="G9" s="20" t="str">
        <x:v>Security lead</x:v>
      </x:c>
      <x:c r="H9" s="20" t="str">
        <x:v>Security evidence reviewed by authorized approver</x:v>
      </x:c>
      <x:c r="I9" s="27"/>
      <x:c r="J9" s="27"/>
      <x:c r="K9" s="27"/>
      <x:c r="L9" s="27" t="str">
        <x:v>Requested</x:v>
      </x:c>
      <x:c r="M9" s="27"/>
      <x:c r="N9" s="27"/>
      <x:c r="O9" s="27"/>
      <x:c r="P9" s="55" t="n">
        <x:v>8</x:v>
      </x:c>
    </x:row>
    <x:row r="10" ht="85" customHeight="1">
      <x:c r="A10" s="20" t="str">
        <x:v>W05</x:v>
      </x:c>
      <x:c r="B10" s="20" t="str">
        <x:v>DevOps</x:v>
      </x:c>
      <x:c r="C10" s="20" t="str">
        <x:v>Terraform and pipelines</x:v>
      </x:c>
      <x:c r="D10" s="20" t="n">
        <x:v>12</x:v>
      </x:c>
      <x:c r="E10" s="20" t="str">
        <x:v>Resource design and approved module/pipeline assets</x:v>
      </x:c>
      <x:c r="F10" s="20" t="str">
        <x:v>IaC, scanning, environment promotion, drift and rollback</x:v>
      </x:c>
      <x:c r="G10" s="20" t="str">
        <x:v>DevOps lead</x:v>
      </x:c>
      <x:c r="H10" s="20" t="str">
        <x:v>Reproducible build and rollback/redeploy test</x:v>
      </x:c>
      <x:c r="I10" s="27"/>
      <x:c r="J10" s="27"/>
      <x:c r="K10" s="27"/>
      <x:c r="L10" s="27" t="str">
        <x:v>Requested</x:v>
      </x:c>
      <x:c r="M10" s="27"/>
      <x:c r="N10" s="27"/>
      <x:c r="O10" s="27"/>
      <x:c r="P10" s="55" t="n">
        <x:v>12</x:v>
      </x:c>
    </x:row>
    <x:row r="11" ht="85" customHeight="1">
      <x:c r="A11" s="20" t="str">
        <x:v>W06</x:v>
      </x:c>
      <x:c r="B11" s="20" t="str">
        <x:v>Data</x:v>
      </x:c>
      <x:c r="C11" s="20" t="str">
        <x:v>Data architecture/governance</x:v>
      </x:c>
      <x:c r="D11" s="20" t="n">
        <x:v>4</x:v>
      </x:c>
      <x:c r="E11" s="20" t="str">
        <x:v>Source owner, rights, classification and retention</x:v>
      </x:c>
      <x:c r="F11" s="20" t="str">
        <x:v>Approved source/permission/retention design</x:v>
      </x:c>
      <x:c r="G11" s="20" t="str">
        <x:v>Data lead</x:v>
      </x:c>
      <x:c r="H11" s="20" t="str">
        <x:v>Customer data owner and relevant towers accept design</x:v>
      </x:c>
      <x:c r="I11" s="27"/>
      <x:c r="J11" s="27"/>
      <x:c r="K11" s="27"/>
      <x:c r="L11" s="27" t="str">
        <x:v>Requested</x:v>
      </x:c>
      <x:c r="M11" s="27"/>
      <x:c r="N11" s="27"/>
      <x:c r="O11" s="27"/>
      <x:c r="P11" s="55" t="n">
        <x:v>4</x:v>
      </x:c>
    </x:row>
    <x:row r="12" ht="85" customHeight="1">
      <x:c r="A12" s="20" t="str">
        <x:v>W07</x:v>
      </x:c>
      <x:c r="B12" s="20" t="str">
        <x:v>Data Engineering</x:v>
      </x:c>
      <x:c r="C12" s="20" t="str">
        <x:v>Ingestion and indexing</x:v>
      </x:c>
      <x:c r="D12" s="20" t="n">
        <x:v>12</x:v>
      </x:c>
      <x:c r="E12" s="20" t="str">
        <x:v>Source access, volumes, ACLs, freshness and design</x:v>
      </x:c>
      <x:c r="F12" s="20" t="str">
        <x:v>One agreed source ingestion/index/permission/recovery pattern</x:v>
      </x:c>
      <x:c r="G12" s="20" t="str">
        <x:v>Engineering lead</x:v>
      </x:c>
      <x:c r="H12" s="20" t="str">
        <x:v>Freshness, access and recovery tests meet agreed limits</x:v>
      </x:c>
      <x:c r="I12" s="27"/>
      <x:c r="J12" s="27"/>
      <x:c r="K12" s="27"/>
      <x:c r="L12" s="27" t="str">
        <x:v>Requested</x:v>
      </x:c>
      <x:c r="M12" s="27"/>
      <x:c r="N12" s="27"/>
      <x:c r="O12" s="27"/>
      <x:c r="P12" s="55" t="n">
        <x:v>12</x:v>
      </x:c>
    </x:row>
    <x:row r="13" ht="85" customHeight="1">
      <x:c r="A13" s="20" t="str">
        <x:v>W08</x:v>
      </x:c>
      <x:c r="B13" s="20" t="str">
        <x:v>AI</x:v>
      </x:c>
      <x:c r="C13" s="20" t="str">
        <x:v>Representative workload/evaluation</x:v>
      </x:c>
      <x:c r="D13" s="20" t="n">
        <x:v>12</x:v>
      </x:c>
      <x:c r="E13" s="20" t="str">
        <x:v>Models/tools/quotas, approved data, platform availability</x:v>
      </x:c>
      <x:c r="F13" s="20" t="str">
        <x:v>One agent/workload, tools, evaluation and usage forecast</x:v>
      </x:c>
      <x:c r="G13" s="20" t="str">
        <x:v>AI lead</x:v>
      </x:c>
      <x:c r="H13" s="20" t="str">
        <x:v>Business owner accepts quality and authorized behavior</x:v>
      </x:c>
      <x:c r="I13" s="27"/>
      <x:c r="J13" s="27"/>
      <x:c r="K13" s="27"/>
      <x:c r="L13" s="27" t="str">
        <x:v>Requested</x:v>
      </x:c>
      <x:c r="M13" s="27"/>
      <x:c r="N13" s="27"/>
      <x:c r="O13" s="27"/>
      <x:c r="P13" s="55" t="n">
        <x:v>12</x:v>
      </x:c>
    </x:row>
    <x:row r="14">
      <x:c r="A14" s="51"/>
      <x:c r="B14" s="51"/>
      <x:c r="C14" s="51"/>
      <x:c r="D14" s="51"/>
      <x:c r="E14" s="51"/>
      <x:c r="F14" s="51"/>
      <x:c r="G14" s="51"/>
      <x:c r="H14" s="51"/>
      <x:c r="I14" s="51"/>
      <x:c r="J14" s="51"/>
      <x:c r="K14" s="51"/>
      <x:c r="L14" s="51"/>
      <x:c r="M14" s="51"/>
      <x:c r="N14" s="51"/>
      <x:c r="O14" s="51"/>
    </x:row>
    <x:row r="15">
      <x:c r="A15" s="51"/>
      <x:c r="B15" s="51"/>
      <x:c r="C15" s="51"/>
      <x:c r="D15" s="51"/>
      <x:c r="E15" s="51"/>
      <x:c r="F15" s="51"/>
      <x:c r="G15" s="51"/>
      <x:c r="H15" s="51"/>
      <x:c r="I15" s="51"/>
      <x:c r="J15" s="51"/>
      <x:c r="K15" s="51"/>
      <x:c r="L15" s="51"/>
      <x:c r="M15" s="51"/>
      <x:c r="N15" s="51"/>
      <x:c r="O15" s="51"/>
    </x:row>
    <x:row r="16" ht="45" customHeight="1">
      <x:c r="A16" s="52" t="str">
        <x:v>* Reference 88 role days are copied from Proposal V3 as illustrative effort, not a delivery commitment or productivity standard.</x:v>
      </x:c>
      <x:c r="B16" s="52"/>
      <x:c r="C16" s="52"/>
      <x:c r="D16" s="52"/>
      <x:c r="E16" s="52"/>
      <x:c r="F16" s="52"/>
      <x:c r="G16" s="51"/>
      <x:c r="H16" s="51"/>
      <x:c r="I16" s="51"/>
      <x:c r="J16" s="51"/>
      <x:c r="K16" s="51"/>
      <x:c r="L16" s="51"/>
      <x:c r="M16" s="51"/>
      <x:c r="N16" s="51"/>
      <x:c r="O16" s="51"/>
    </x:row>
    <x:row r="17" ht="45" customHeight="1">
      <x:c r="A17" s="52" t="str">
        <x:v>Terraform ownership, identity operations and shared observability must be resolved before quotation. Needed dates and customer approvals determine elapsed schedule.</x:v>
      </x:c>
      <x:c r="B17" s="52"/>
      <x:c r="C17" s="52"/>
      <x:c r="D17" s="52"/>
      <x:c r="E17" s="52"/>
      <x:c r="F17" s="52"/>
      <x:c r="G17" s="51"/>
      <x:c r="H17" s="51"/>
      <x:c r="I17" s="51"/>
      <x:c r="J17" s="51"/>
      <x:c r="K17" s="51"/>
      <x:c r="L17" s="51"/>
      <x:c r="M17" s="51"/>
      <x:c r="N17" s="51"/>
      <x:c r="O17" s="51"/>
    </x:row>
    <x:row r="19" ht="45" customHeight="1">
      <x:c r="A19" s="28" t="str">
        <x:v>* Estimate days start from the illustrative reference. Replace with scope-based estimates; committed days remain a separate staffing commitment.</x:v>
      </x:c>
      <x:c r="B19" s="28"/>
      <x:c r="C19" s="28"/>
      <x:c r="D19" s="28"/>
      <x:c r="E19" s="28"/>
      <x:c r="F19" s="28"/>
      <x:c r="G19" s="28"/>
      <x:c r="H19" s="28"/>
    </x:row>
    <x:row r="22" ht="36" customHeight="1">
      <x:c r="A22" s="58" t="str">
        <x:v>Deliverable</x:v>
      </x:c>
      <x:c r="B22" s="58" t="str">
        <x:v>Infra</x:v>
      </x:c>
      <x:c r="C22" s="58" t="str">
        <x:v>Security</x:v>
      </x:c>
      <x:c r="D22" s="58" t="str">
        <x:v>DevOps</x:v>
      </x:c>
      <x:c r="E22" s="58" t="str">
        <x:v>Data</x:v>
      </x:c>
      <x:c r="F22" s="58" t="str">
        <x:v>Engineering</x:v>
      </x:c>
      <x:c r="G22" s="58" t="str">
        <x:v>AI</x:v>
      </x:c>
    </x:row>
    <x:row r="23" ht="48" customHeight="1">
      <x:c r="A23" s="60" t="str">
        <x:v>Integrated platform plan</x:v>
      </x:c>
      <x:c r="B23" s="60" t="str">
        <x:v>A/R</x:v>
      </x:c>
      <x:c r="C23" s="60" t="str">
        <x:v>C</x:v>
      </x:c>
      <x:c r="D23" s="60" t="str">
        <x:v>C</x:v>
      </x:c>
      <x:c r="E23" s="60" t="str">
        <x:v>C</x:v>
      </x:c>
      <x:c r="F23" s="60" t="str">
        <x:v>C</x:v>
      </x:c>
      <x:c r="G23" s="60" t="str">
        <x:v>C</x:v>
      </x:c>
    </x:row>
    <x:row r="24" ht="48" customHeight="1">
      <x:c r="A24" s="60" t="str">
        <x:v>Subscriptions, network and DNS</x:v>
      </x:c>
      <x:c r="B24" s="60" t="str">
        <x:v>A/R</x:v>
      </x:c>
      <x:c r="C24" s="60" t="str">
        <x:v>C</x:v>
      </x:c>
      <x:c r="D24" s="60" t="str">
        <x:v>C</x:v>
      </x:c>
      <x:c r="E24" s="60" t="str">
        <x:v>I</x:v>
      </x:c>
      <x:c r="F24" s="60" t="str">
        <x:v>C</x:v>
      </x:c>
      <x:c r="G24" s="60" t="str">
        <x:v>C</x:v>
      </x:c>
    </x:row>
    <x:row r="25" ht="48" customHeight="1">
      <x:c r="A25" s="60" t="str">
        <x:v>Security design and verification</x:v>
      </x:c>
      <x:c r="B25" s="60" t="str">
        <x:v>R</x:v>
      </x:c>
      <x:c r="C25" s="60" t="str">
        <x:v>A/R</x:v>
      </x:c>
      <x:c r="D25" s="60" t="str">
        <x:v>C</x:v>
      </x:c>
      <x:c r="E25" s="60" t="str">
        <x:v>C</x:v>
      </x:c>
      <x:c r="F25" s="60" t="str">
        <x:v>C</x:v>
      </x:c>
      <x:c r="G25" s="60" t="str">
        <x:v>C</x:v>
      </x:c>
    </x:row>
    <x:row r="26" ht="48" customHeight="1">
      <x:c r="A26" s="60" t="str">
        <x:v>Terraform and platform pipelines</x:v>
      </x:c>
      <x:c r="B26" s="60" t="str">
        <x:v>R</x:v>
      </x:c>
      <x:c r="C26" s="60" t="str">
        <x:v>C</x:v>
      </x:c>
      <x:c r="D26" s="60" t="str">
        <x:v>A/R</x:v>
      </x:c>
      <x:c r="E26" s="60" t="str">
        <x:v>I</x:v>
      </x:c>
      <x:c r="F26" s="60" t="str">
        <x:v>I</x:v>
      </x:c>
      <x:c r="G26" s="60" t="str">
        <x:v>C</x:v>
      </x:c>
    </x:row>
    <x:row r="27" ht="48" customHeight="1">
      <x:c r="A27" s="60" t="str">
        <x:v>Data architecture and governance</x:v>
      </x:c>
      <x:c r="B27" s="60" t="str">
        <x:v>C</x:v>
      </x:c>
      <x:c r="C27" s="60" t="str">
        <x:v>C</x:v>
      </x:c>
      <x:c r="D27" s="60" t="str">
        <x:v>I</x:v>
      </x:c>
      <x:c r="E27" s="60" t="str">
        <x:v>A/R</x:v>
      </x:c>
      <x:c r="F27" s="60" t="str">
        <x:v>R</x:v>
      </x:c>
      <x:c r="G27" s="60" t="str">
        <x:v>C</x:v>
      </x:c>
    </x:row>
    <x:row r="28" ht="48" customHeight="1">
      <x:c r="A28" s="60" t="str">
        <x:v>Ingestion and indexing</x:v>
      </x:c>
      <x:c r="B28" s="60" t="str">
        <x:v>C</x:v>
      </x:c>
      <x:c r="C28" s="60" t="str">
        <x:v>C</x:v>
      </x:c>
      <x:c r="D28" s="60" t="str">
        <x:v>C</x:v>
      </x:c>
      <x:c r="E28" s="60" t="str">
        <x:v>C</x:v>
      </x:c>
      <x:c r="F28" s="60" t="str">
        <x:v>A/R</x:v>
      </x:c>
      <x:c r="G28" s="60" t="str">
        <x:v>C</x:v>
      </x:c>
    </x:row>
    <x:row r="29" ht="48" customHeight="1">
      <x:c r="A29" s="60" t="str">
        <x:v>Model, agent and tool evaluations</x:v>
      </x:c>
      <x:c r="B29" s="60" t="str">
        <x:v>C</x:v>
      </x:c>
      <x:c r="C29" s="60" t="str">
        <x:v>C</x:v>
      </x:c>
      <x:c r="D29" s="60" t="str">
        <x:v>C</x:v>
      </x:c>
      <x:c r="E29" s="60" t="str">
        <x:v>C</x:v>
      </x:c>
      <x:c r="F29" s="60" t="str">
        <x:v>R</x:v>
      </x:c>
      <x:c r="G29" s="60" t="str">
        <x:v>A/R</x:v>
      </x:c>
    </x:row>
    <x:row r="30" ht="48" customHeight="1">
      <x:c r="A30" s="60" t="str">
        <x:v>Infrastructure recovery</x:v>
      </x:c>
      <x:c r="B30" s="60" t="str">
        <x:v>A/R</x:v>
      </x:c>
      <x:c r="C30" s="60" t="str">
        <x:v>C</x:v>
      </x:c>
      <x:c r="D30" s="60" t="str">
        <x:v>R</x:v>
      </x:c>
      <x:c r="E30" s="60" t="str">
        <x:v>C</x:v>
      </x:c>
      <x:c r="F30" s="60" t="str">
        <x:v>C</x:v>
      </x:c>
      <x:c r="G30" s="60" t="str">
        <x:v>C</x:v>
      </x:c>
    </x:row>
    <x:row r="31" ht="48" customHeight="1">
      <x:c r="A31" s="60" t="str">
        <x:v>AI quality monitoring</x:v>
      </x:c>
      <x:c r="B31" s="60" t="str">
        <x:v>C</x:v>
      </x:c>
      <x:c r="C31" s="60" t="str">
        <x:v>C</x:v>
      </x:c>
      <x:c r="D31" s="60" t="str">
        <x:v>R</x:v>
      </x:c>
      <x:c r="E31" s="60" t="str">
        <x:v>C</x:v>
      </x:c>
      <x:c r="F31" s="60" t="str">
        <x:v>R</x:v>
      </x:c>
      <x:c r="G31" s="60" t="str">
        <x:v>A/R</x:v>
      </x:c>
    </x:row>
    <x:row r="32" ht="48" customHeight="1">
      <x:c r="A32" s="60" t="str">
        <x:v>Platform cost reporting</x:v>
      </x:c>
      <x:c r="B32" s="60" t="str">
        <x:v>A/R</x:v>
      </x:c>
      <x:c r="C32" s="60" t="str">
        <x:v>I</x:v>
      </x:c>
      <x:c r="D32" s="60" t="str">
        <x:v>C</x:v>
      </x:c>
      <x:c r="E32" s="60" t="str">
        <x:v>C</x:v>
      </x:c>
      <x:c r="F32" s="60" t="str">
        <x:v>C</x:v>
      </x:c>
      <x:c r="G32" s="60" t="str">
        <x:v>R</x:v>
      </x:c>
    </x:row>
    <x:row r="33" ht="48" customHeight="1">
      <x:c r="A33" s="60" t="str">
        <x:v>Platform operational handover</x:v>
      </x:c>
      <x:c r="B33" s="60" t="str">
        <x:v>A/R</x:v>
      </x:c>
      <x:c r="C33" s="60" t="str">
        <x:v>R</x:v>
      </x:c>
      <x:c r="D33" s="60" t="str">
        <x:v>R</x:v>
      </x:c>
      <x:c r="E33" s="60" t="str">
        <x:v>C</x:v>
      </x:c>
      <x:c r="F33" s="60" t="str">
        <x:v>R</x:v>
      </x:c>
      <x:c r="G33" s="60" t="str">
        <x:v>R</x:v>
      </x:c>
    </x:row>
    <x:row r="35" ht="44" customHeight="1">
      <x:c r="A35" s="28" t="str">
        <x:v>RACI from Proposal V3: A accountable; R responsible; C consulted; I informed. Each row has one accountable tower. This baseline requires internal agreement.</x:v>
      </x:c>
      <x:c r="B35" s="28"/>
      <x:c r="C35" s="28"/>
      <x:c r="D35" s="28"/>
      <x:c r="E35" s="28"/>
      <x:c r="F35" s="28"/>
      <x:c r="G35" s="28"/>
      <x:c r="H35" s="28"/>
    </x:row>
    <x:row r="36" ht="44" customHeight="1">
      <x:c r="A36" s="28" t="str">
        <x:v>Terraform accountability moves to Infra only if Infra staffs and maintains it. Customer contractual obligations and Finance/account approvals remain separate.</x:v>
      </x:c>
      <x:c r="B36" s="28"/>
      <x:c r="C36" s="28"/>
      <x:c r="D36" s="28"/>
      <x:c r="E36" s="28"/>
      <x:c r="F36" s="28"/>
      <x:c r="G36" s="28"/>
      <x:c r="H36" s="28"/>
    </x:row>
  </x:sheetData>
  <x:mergeCells>
    <x:mergeCell ref="A16:F16"/>
    <x:mergeCell ref="A17:F17"/>
    <x:mergeCell ref="A19:H19"/>
    <x:mergeCell ref="A35:H35"/>
    <x:mergeCell ref="A36:H36"/>
  </x:mergeCells>
  <x:dataValidations count="2">
    <x:dataValidation type="list" sqref="L6:L13">
      <x:formula1>"Requested,Committed,Delivered,Accepted"</x:formula1>
    </x:dataValidation>
    <x:dataValidation type="decimal" operator="greaterThanOrEqual" sqref="P6:P13">
      <x:formula1>0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558edd77f1634f18"/>
    <x:tablePart xmlns:r="http://schemas.openxmlformats.org/officeDocument/2006/relationships" r:id="Rb4a7b97b51f845b3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35" hidden="0" customWidth="1"/>
    <x:col min="2" max="2" width="18" hidden="0" customWidth="1"/>
    <x:col min="3" max="3" width="18" hidden="0" customWidth="1"/>
    <x:col min="4" max="4" width="18" hidden="0" customWidth="1"/>
    <x:col min="5" max="5" width="29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5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5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2" t="str">
        <x:v>USD commercial model | EMEA and US pursuits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36" customHeight="1">
      <x:c r="A5" s="25" t="str">
        <x:v>Control</x:v>
      </x:c>
      <x:c r="B5" s="25" t="str">
        <x:v>Input</x:v>
      </x:c>
      <x:c r="C5" s="80" t="str">
        <x:v>Meaning</x:v>
      </x:c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</x:row>
    <x:row r="6" ht="40" customHeight="1">
      <x:c r="A6" s="20" t="str">
        <x:v>Currency</x:v>
      </x:c>
      <x:c r="B6" s="64" t="str">
        <x:v>USD</x:v>
      </x:c>
      <x:c r="C6" s="20" t="str">
        <x:v>All operative costs, fees, consumption and licenses are USD.</x:v>
      </x:c>
      <x:c r="D6" s="20"/>
      <x:c r="E6" s="20"/>
      <x:c r="F6" s="20"/>
      <x:c r="G6" s="20"/>
      <x:c r="H6" s="20"/>
      <x:c r="I6" s="20"/>
      <x:c r="J6" s="20"/>
      <x:c r="K6" s="20"/>
      <x:c r="L6" s="20"/>
      <x:c r="M6" s="20"/>
      <x:c r="N6" s="20"/>
    </x:row>
    <x:row r="7" ht="40" customHeight="1">
      <x:c r="A7" s="20" t="str">
        <x:v>Effort reserve</x:v>
      </x:c>
      <x:c r="B7" s="36" t="n">
        <x:v>0.15</x:v>
      </x:c>
      <x:c r="C7" s="20" t="str">
        <x:v>Illustrative proposal allowance; Finance/delivery to approve.</x:v>
      </x:c>
      <x:c r="D7" s="20"/>
      <x:c r="E7" s="20"/>
      <x:c r="F7" s="20"/>
      <x:c r="G7" s="20"/>
      <x:c r="H7" s="20"/>
      <x:c r="I7" s="20"/>
      <x:c r="J7" s="20"/>
      <x:c r="K7" s="20"/>
      <x:c r="L7" s="20"/>
      <x:c r="M7" s="20"/>
      <x:c r="N7" s="20"/>
    </x:row>
    <x:row r="8" ht="40" customHeight="1">
      <x:c r="A8" s="20" t="str">
        <x:v>Target gross margin</x:v>
      </x:c>
      <x:c r="B8" s="36" t="n">
        <x:v>0.3</x:v>
      </x:c>
      <x:c r="C8" s="20" t="str">
        <x:v>Planning input, not Cognizant policy; use approved definition.</x:v>
      </x:c>
      <x:c r="D8" s="20"/>
      <x:c r="E8" s="20"/>
      <x:c r="F8" s="20"/>
      <x:c r="G8" s="20"/>
      <x:c r="H8" s="20"/>
      <x:c r="I8" s="20"/>
      <x:c r="J8" s="20"/>
      <x:c r="K8" s="20"/>
      <x:c r="L8" s="20"/>
      <x:c r="M8" s="20"/>
      <x:c r="N8" s="20"/>
    </x:row>
    <x:row r="9" ht="40" customHeight="1">
      <x:c r="A9" s="20" t="str">
        <x:v>Discount</x:v>
      </x:c>
      <x:c r="B9" s="36" t="n">
        <x:v>0</x:v>
      </x:c>
      <x:c r="C9" s="20" t="str">
        <x:v>Applied to calculated services price; costs remain unchanged.</x:v>
      </x:c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</x:row>
    <x:row r="10" ht="40" customHeight="1">
      <x:c r="A10" s="20" t="str">
        <x:v>INR per USD, example conversion</x:v>
      </x:c>
      <x:c r="B10" s="65"/>
      <x:c r="C10" s="20" t="str">
        <x:v>Optional dated FX input; converts only the original proposal example.</x:v>
      </x:c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</x:row>
    <x:row r="11" ht="40" customHeight="1">
      <x:c r="A11" s="20" t="str">
        <x:v>Target market</x:v>
      </x:c>
      <x:c r="B11" s="65" t="str">
        <x:v>EMEA</x:v>
      </x:c>
      <x:c r="C11" s="20" t="str">
        <x:v>Select approved regional delivery rates; EMEA country detail in Market Plan.</x:v>
      </x:c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</x:row>
    <x:row r="12" ht="40" customHeight="1">
      <x:c r="A12" s="25" t="str">
        <x:v>Work package</x:v>
      </x:c>
      <x:c r="B12" s="25" t="str">
        <x:v>Tower</x:v>
      </x:c>
      <x:c r="C12" s="25" t="str">
        <x:v>Role days</x:v>
      </x:c>
      <x:c r="D12" s="25" t="str">
        <x:v>Blended cost USD/day</x:v>
      </x:c>
      <x:c r="E12" s="25" t="str">
        <x:v>Base cost USD</x:v>
      </x:c>
      <x:c r="F12" s="25" t="str">
        <x:v>Reserve days</x:v>
      </x:c>
      <x:c r="G12" s="25" t="str">
        <x:v>Reserve cost USD</x:v>
      </x:c>
      <x:c r="H12" s="25" t="str">
        <x:v>Total cost USD</x:v>
      </x:c>
      <x:c r="I12" s="25" t="str">
        <x:v>Evidence / rate approval</x:v>
      </x:c>
      <x:c r="J12" s="25" t="str">
        <x:v>Tower attribution reference</x:v>
      </x:c>
      <x:c r="K12" s="25" t="str">
        <x:v>Proposal example converted USD*</x:v>
      </x:c>
      <x:c r="L12" s="25" t="str">
        <x:v>Approved tower credit USD</x:v>
      </x:c>
      <x:c r="M12" s="25" t="str">
        <x:v>Attribution method</x:v>
      </x:c>
      <x:c r="N12" s="25" t="str">
        <x:v>Approval evidence</x:v>
      </x:c>
      <x:c r="P12" s="71" t="str">
        <x:v>EMEA onshore USD/day</x:v>
      </x:c>
      <x:c r="Q12" s="71" t="str">
        <x:v>EMEA offshore USD/day</x:v>
      </x:c>
      <x:c r="R12" s="71" t="str">
        <x:v>US onshore USD/day</x:v>
      </x:c>
      <x:c r="S12" s="71" t="str">
        <x:v>US offshore USD/day</x:v>
      </x:c>
      <x:c r="T12" s="71" t="str">
        <x:v>Onshore share</x:v>
      </x:c>
      <x:c r="U12" s="71" t="str">
        <x:v>Approved rate/source/date</x:v>
      </x:c>
    </x:row>
    <x:row r="13" ht="44" customHeight="1">
      <x:c r="A13" s="20" t="str">
        <x:v>Platform architecture</x:v>
      </x:c>
      <x:c r="B13" s="20" t="str">
        <x:v>Infra</x:v>
      </x:c>
      <x:c r="C13" s="20" t="n">
        <x:f>IF(ISNUMBER('Delivery Dependencies'!P6),'Delivery Dependencies'!P6,"n.a.")</x:f>
        <x:v>12</x:v>
      </x:c>
      <x:c r="D13" s="73" t="str">
        <x:f>IF(ISNUMBER(T13),IF($B$11="EMEA",IF(COUNT(P13:Q13)=2,P13*T13+Q13*(1-T13),"n.a."),IF(COUNT(R13:S13)=2,R13*T13+S13*(1-T13),"n.a.")),"n.a.")</x:f>
        <x:v>n.a.</x:v>
      </x:c>
      <x:c r="E13" s="74" t="str">
        <x:f>IF(AND(ISNUMBER(C13),ISNUMBER(D13)),C13*D13,"n.a.")</x:f>
        <x:v>n.a.</x:v>
      </x:c>
      <x:c r="F13" s="38" t="n">
        <x:f>IF(ISNUMBER(C13),C13*$B$7,"n.a.")</x:f>
        <x:v>1.7999999999999998</x:v>
      </x:c>
      <x:c r="G13" s="74" t="str">
        <x:f>IF(AND(ISNUMBER(C13),ISNUMBER(D13)),F13*D13,"n.a.")</x:f>
        <x:v>n.a.</x:v>
      </x:c>
      <x:c r="H13" s="74" t="str">
        <x:f>IF(AND(ISNUMBER(C13),ISNUMBER(D13)),E13+G13,"n.a.")</x:f>
        <x:v>n.a.</x:v>
      </x:c>
      <x:c r="I13" s="27"/>
      <x:c r="J13" s="20" t="str">
        <x:v>Infra</x:v>
      </x:c>
      <x:c r="K13" s="74" t="str">
        <x:f>IF(ISNUMBER($B$10),1800000/$B$10,"n.a.")</x:f>
        <x:v>n.a.</x:v>
      </x:c>
      <x:c r="L13" s="75"/>
      <x:c r="M13" s="27"/>
      <x:c r="N13" s="27"/>
      <x:c r="P13" s="76"/>
      <x:c r="Q13" s="76"/>
      <x:c r="R13" s="76"/>
      <x:c r="S13" s="76"/>
      <x:c r="T13" s="69"/>
      <x:c r="U13" s="68"/>
    </x:row>
    <x:row r="14" ht="44" customHeight="1">
      <x:c r="A14" s="20" t="str">
        <x:v>Network and platform engineering</x:v>
      </x:c>
      <x:c r="B14" s="20" t="str">
        <x:v>Infra</x:v>
      </x:c>
      <x:c r="C14" s="20" t="n">
        <x:f>IF(ISNUMBER('Delivery Dependencies'!P7),'Delivery Dependencies'!P7,"n.a.")</x:f>
        <x:v>20</x:v>
      </x:c>
      <x:c r="D14" s="73" t="str">
        <x:f>IF(ISNUMBER(T14),IF($B$11="EMEA",IF(COUNT(P14:Q14)=2,P14*T14+Q14*(1-T14),"n.a."),IF(COUNT(R14:S14)=2,R14*T14+S14*(1-T14),"n.a.")),"n.a.")</x:f>
        <x:v>n.a.</x:v>
      </x:c>
      <x:c r="E14" s="74" t="str">
        <x:f>IF(AND(ISNUMBER(C14),ISNUMBER(D14)),C14*D14,"n.a.")</x:f>
        <x:v>n.a.</x:v>
      </x:c>
      <x:c r="F14" s="38" t="n">
        <x:f>IF(ISNUMBER(C14),C14*$B$7,"n.a.")</x:f>
        <x:v>3</x:v>
      </x:c>
      <x:c r="G14" s="74" t="str">
        <x:f>IF(AND(ISNUMBER(C14),ISNUMBER(D14)),F14*D14,"n.a.")</x:f>
        <x:v>n.a.</x:v>
      </x:c>
      <x:c r="H14" s="74" t="str">
        <x:f>IF(AND(ISNUMBER(C14),ISNUMBER(D14)),E14+G14,"n.a.")</x:f>
        <x:v>n.a.</x:v>
      </x:c>
      <x:c r="I14" s="27"/>
      <x:c r="J14" s="20" t="str">
        <x:v>Security</x:v>
      </x:c>
      <x:c r="K14" s="74" t="str">
        <x:f>IF(ISNUMBER($B$10),400000/$B$10,"n.a.")</x:f>
        <x:v>n.a.</x:v>
      </x:c>
      <x:c r="L14" s="75"/>
      <x:c r="M14" s="27"/>
      <x:c r="N14" s="27"/>
      <x:c r="P14" s="76"/>
      <x:c r="Q14" s="76"/>
      <x:c r="R14" s="76"/>
      <x:c r="S14" s="76"/>
      <x:c r="T14" s="69"/>
      <x:c r="U14" s="68"/>
    </x:row>
    <x:row r="15" ht="44" customHeight="1">
      <x:c r="A15" s="20" t="str">
        <x:v>Integration management and handover</x:v>
      </x:c>
      <x:c r="B15" s="20" t="str">
        <x:v>Infra</x:v>
      </x:c>
      <x:c r="C15" s="20" t="n">
        <x:f>IF(ISNUMBER('Delivery Dependencies'!P8),'Delivery Dependencies'!P8,"n.a.")</x:f>
        <x:v>8</x:v>
      </x:c>
      <x:c r="D15" s="73" t="str">
        <x:f>IF(ISNUMBER(T15),IF($B$11="EMEA",IF(COUNT(P15:Q15)=2,P15*T15+Q15*(1-T15),"n.a."),IF(COUNT(R15:S15)=2,R15*T15+S15*(1-T15),"n.a.")),"n.a.")</x:f>
        <x:v>n.a.</x:v>
      </x:c>
      <x:c r="E15" s="74" t="str">
        <x:f>IF(AND(ISNUMBER(C15),ISNUMBER(D15)),C15*D15,"n.a.")</x:f>
        <x:v>n.a.</x:v>
      </x:c>
      <x:c r="F15" s="38" t="n">
        <x:f>IF(ISNUMBER(C15),C15*$B$7,"n.a.")</x:f>
        <x:v>1.2</x:v>
      </x:c>
      <x:c r="G15" s="74" t="str">
        <x:f>IF(AND(ISNUMBER(C15),ISNUMBER(D15)),F15*D15,"n.a.")</x:f>
        <x:v>n.a.</x:v>
      </x:c>
      <x:c r="H15" s="74" t="str">
        <x:f>IF(AND(ISNUMBER(C15),ISNUMBER(D15)),E15+G15,"n.a.")</x:f>
        <x:v>n.a.</x:v>
      </x:c>
      <x:c r="I15" s="27"/>
      <x:c r="J15" s="20" t="str">
        <x:v>DevOps</x:v>
      </x:c>
      <x:c r="K15" s="74" t="str">
        <x:f>IF(ISNUMBER($B$10),500000/$B$10,"n.a.")</x:f>
        <x:v>n.a.</x:v>
      </x:c>
      <x:c r="L15" s="75"/>
      <x:c r="M15" s="27"/>
      <x:c r="N15" s="27"/>
      <x:c r="P15" s="76"/>
      <x:c r="Q15" s="76"/>
      <x:c r="R15" s="76"/>
      <x:c r="S15" s="76"/>
      <x:c r="T15" s="69"/>
      <x:c r="U15" s="68"/>
    </x:row>
    <x:row r="16" ht="44" customHeight="1">
      <x:c r="A16" s="20" t="str">
        <x:v>Design and verification</x:v>
      </x:c>
      <x:c r="B16" s="20" t="str">
        <x:v>Security</x:v>
      </x:c>
      <x:c r="C16" s="20" t="n">
        <x:f>IF(ISNUMBER('Delivery Dependencies'!P9),'Delivery Dependencies'!P9,"n.a.")</x:f>
        <x:v>8</x:v>
      </x:c>
      <x:c r="D16" s="73" t="str">
        <x:f>IF(ISNUMBER(T16),IF($B$11="EMEA",IF(COUNT(P16:Q16)=2,P16*T16+Q16*(1-T16),"n.a."),IF(COUNT(R16:S16)=2,R16*T16+S16*(1-T16),"n.a.")),"n.a.")</x:f>
        <x:v>n.a.</x:v>
      </x:c>
      <x:c r="E16" s="74" t="str">
        <x:f>IF(AND(ISNUMBER(C16),ISNUMBER(D16)),C16*D16,"n.a.")</x:f>
        <x:v>n.a.</x:v>
      </x:c>
      <x:c r="F16" s="38" t="n">
        <x:f>IF(ISNUMBER(C16),C16*$B$7,"n.a.")</x:f>
        <x:v>1.2</x:v>
      </x:c>
      <x:c r="G16" s="74" t="str">
        <x:f>IF(AND(ISNUMBER(C16),ISNUMBER(D16)),F16*D16,"n.a.")</x:f>
        <x:v>n.a.</x:v>
      </x:c>
      <x:c r="H16" s="74" t="str">
        <x:f>IF(AND(ISNUMBER(C16),ISNUMBER(D16)),E16+G16,"n.a.")</x:f>
        <x:v>n.a.</x:v>
      </x:c>
      <x:c r="I16" s="27"/>
      <x:c r="J16" s="20" t="str">
        <x:v>Data</x:v>
      </x:c>
      <x:c r="K16" s="74" t="str">
        <x:f>IF(ISNUMBER($B$10),200000/$B$10,"n.a.")</x:f>
        <x:v>n.a.</x:v>
      </x:c>
      <x:c r="L16" s="75"/>
      <x:c r="M16" s="27"/>
      <x:c r="N16" s="27"/>
      <x:c r="P16" s="76"/>
      <x:c r="Q16" s="76"/>
      <x:c r="R16" s="76"/>
      <x:c r="S16" s="76"/>
      <x:c r="T16" s="69"/>
      <x:c r="U16" s="68"/>
    </x:row>
    <x:row r="17" ht="44" customHeight="1">
      <x:c r="A17" s="20" t="str">
        <x:v>Terraform and pipelines</x:v>
      </x:c>
      <x:c r="B17" s="20" t="str">
        <x:v>DevOps</x:v>
      </x:c>
      <x:c r="C17" s="20" t="n">
        <x:f>IF(ISNUMBER('Delivery Dependencies'!P10),'Delivery Dependencies'!P10,"n.a.")</x:f>
        <x:v>12</x:v>
      </x:c>
      <x:c r="D17" s="73" t="str">
        <x:f>IF(ISNUMBER(T17),IF($B$11="EMEA",IF(COUNT(P17:Q17)=2,P17*T17+Q17*(1-T17),"n.a."),IF(COUNT(R17:S17)=2,R17*T17+S17*(1-T17),"n.a.")),"n.a.")</x:f>
        <x:v>n.a.</x:v>
      </x:c>
      <x:c r="E17" s="74" t="str">
        <x:f>IF(AND(ISNUMBER(C17),ISNUMBER(D17)),C17*D17,"n.a.")</x:f>
        <x:v>n.a.</x:v>
      </x:c>
      <x:c r="F17" s="38" t="n">
        <x:f>IF(ISNUMBER(C17),C17*$B$7,"n.a.")</x:f>
        <x:v>1.7999999999999998</x:v>
      </x:c>
      <x:c r="G17" s="74" t="str">
        <x:f>IF(AND(ISNUMBER(C17),ISNUMBER(D17)),F17*D17,"n.a.")</x:f>
        <x:v>n.a.</x:v>
      </x:c>
      <x:c r="H17" s="74" t="str">
        <x:f>IF(AND(ISNUMBER(C17),ISNUMBER(D17)),E17+G17,"n.a.")</x:f>
        <x:v>n.a.</x:v>
      </x:c>
      <x:c r="I17" s="27"/>
      <x:c r="J17" s="20" t="str">
        <x:v>Data Engineering</x:v>
      </x:c>
      <x:c r="K17" s="74" t="str">
        <x:f>IF(ISNUMBER($B$10),600000/$B$10,"n.a.")</x:f>
        <x:v>n.a.</x:v>
      </x:c>
      <x:c r="L17" s="75"/>
      <x:c r="M17" s="27"/>
      <x:c r="N17" s="27"/>
      <x:c r="P17" s="76"/>
      <x:c r="Q17" s="76"/>
      <x:c r="R17" s="76"/>
      <x:c r="S17" s="76"/>
      <x:c r="T17" s="69"/>
      <x:c r="U17" s="68"/>
    </x:row>
    <x:row r="18" ht="44" customHeight="1">
      <x:c r="A18" s="20" t="str">
        <x:v>Data architecture/governance</x:v>
      </x:c>
      <x:c r="B18" s="20" t="str">
        <x:v>Data</x:v>
      </x:c>
      <x:c r="C18" s="20" t="n">
        <x:f>IF(ISNUMBER('Delivery Dependencies'!P11),'Delivery Dependencies'!P11,"n.a.")</x:f>
        <x:v>4</x:v>
      </x:c>
      <x:c r="D18" s="73" t="str">
        <x:f>IF(ISNUMBER(T18),IF($B$11="EMEA",IF(COUNT(P18:Q18)=2,P18*T18+Q18*(1-T18),"n.a."),IF(COUNT(R18:S18)=2,R18*T18+S18*(1-T18),"n.a.")),"n.a.")</x:f>
        <x:v>n.a.</x:v>
      </x:c>
      <x:c r="E18" s="74" t="str">
        <x:f>IF(AND(ISNUMBER(C18),ISNUMBER(D18)),C18*D18,"n.a.")</x:f>
        <x:v>n.a.</x:v>
      </x:c>
      <x:c r="F18" s="38" t="n">
        <x:f>IF(ISNUMBER(C18),C18*$B$7,"n.a.")</x:f>
        <x:v>0.6</x:v>
      </x:c>
      <x:c r="G18" s="74" t="str">
        <x:f>IF(AND(ISNUMBER(C18),ISNUMBER(D18)),F18*D18,"n.a.")</x:f>
        <x:v>n.a.</x:v>
      </x:c>
      <x:c r="H18" s="74" t="str">
        <x:f>IF(AND(ISNUMBER(C18),ISNUMBER(D18)),E18+G18,"n.a.")</x:f>
        <x:v>n.a.</x:v>
      </x:c>
      <x:c r="I18" s="27"/>
      <x:c r="J18" s="20" t="str">
        <x:v>AI</x:v>
      </x:c>
      <x:c r="K18" s="74" t="str">
        <x:f>IF(ISNUMBER($B$10),500000/$B$10,"n.a.")</x:f>
        <x:v>n.a.</x:v>
      </x:c>
      <x:c r="L18" s="75"/>
      <x:c r="M18" s="27"/>
      <x:c r="N18" s="27"/>
      <x:c r="P18" s="76"/>
      <x:c r="Q18" s="76"/>
      <x:c r="R18" s="76"/>
      <x:c r="S18" s="76"/>
      <x:c r="T18" s="69"/>
      <x:c r="U18" s="68"/>
    </x:row>
    <x:row r="19" ht="40" customHeight="1">
      <x:c r="A19" s="20" t="str">
        <x:v>Ingestion and indexing</x:v>
      </x:c>
      <x:c r="B19" s="20" t="str">
        <x:v>Data Engineering</x:v>
      </x:c>
      <x:c r="C19" s="20" t="n">
        <x:f>IF(ISNUMBER('Delivery Dependencies'!P12),'Delivery Dependencies'!P12,"n.a.")</x:f>
        <x:v>12</x:v>
      </x:c>
      <x:c r="D19" s="73" t="str">
        <x:f>IF(ISNUMBER(T19),IF($B$11="EMEA",IF(COUNT(P19:Q19)=2,P19*T19+Q19*(1-T19),"n.a."),IF(COUNT(R19:S19)=2,R19*T19+S19*(1-T19),"n.a.")),"n.a.")</x:f>
        <x:v>n.a.</x:v>
      </x:c>
      <x:c r="E19" s="74" t="str">
        <x:f>IF(AND(ISNUMBER(C19),ISNUMBER(D19)),C19*D19,"n.a.")</x:f>
        <x:v>n.a.</x:v>
      </x:c>
      <x:c r="F19" s="38" t="n">
        <x:f>IF(ISNUMBER(C19),C19*$B$7,"n.a.")</x:f>
        <x:v>1.7999999999999998</x:v>
      </x:c>
      <x:c r="G19" s="74" t="str">
        <x:f>IF(AND(ISNUMBER(C19),ISNUMBER(D19)),F19*D19,"n.a.")</x:f>
        <x:v>n.a.</x:v>
      </x:c>
      <x:c r="H19" s="74" t="str">
        <x:f>IF(AND(ISNUMBER(C19),ISNUMBER(D19)),E19+G19,"n.a.")</x:f>
        <x:v>n.a.</x:v>
      </x:c>
      <x:c r="I19" s="27"/>
      <x:c r="J19" s="20"/>
      <x:c r="K19" s="74"/>
      <x:c r="L19" s="74"/>
      <x:c r="M19" s="20"/>
      <x:c r="N19" s="20"/>
      <x:c r="P19" s="76"/>
      <x:c r="Q19" s="76"/>
      <x:c r="R19" s="76"/>
      <x:c r="S19" s="76"/>
      <x:c r="T19" s="69"/>
      <x:c r="U19" s="68"/>
    </x:row>
    <x:row r="20" ht="40" customHeight="1">
      <x:c r="A20" s="20" t="str">
        <x:v>Representative workload/evaluation</x:v>
      </x:c>
      <x:c r="B20" s="20" t="str">
        <x:v>AI</x:v>
      </x:c>
      <x:c r="C20" s="20" t="n">
        <x:f>IF(ISNUMBER('Delivery Dependencies'!P13),'Delivery Dependencies'!P13,"n.a.")</x:f>
        <x:v>12</x:v>
      </x:c>
      <x:c r="D20" s="73" t="str">
        <x:f>IF(ISNUMBER(T20),IF($B$11="EMEA",IF(COUNT(P20:Q20)=2,P20*T20+Q20*(1-T20),"n.a."),IF(COUNT(R20:S20)=2,R20*T20+S20*(1-T20),"n.a.")),"n.a.")</x:f>
        <x:v>n.a.</x:v>
      </x:c>
      <x:c r="E20" s="74" t="str">
        <x:f>IF(AND(ISNUMBER(C20),ISNUMBER(D20)),C20*D20,"n.a.")</x:f>
        <x:v>n.a.</x:v>
      </x:c>
      <x:c r="F20" s="38" t="n">
        <x:f>IF(ISNUMBER(C20),C20*$B$7,"n.a.")</x:f>
        <x:v>1.7999999999999998</x:v>
      </x:c>
      <x:c r="G20" s="74" t="str">
        <x:f>IF(AND(ISNUMBER(C20),ISNUMBER(D20)),F20*D20,"n.a.")</x:f>
        <x:v>n.a.</x:v>
      </x:c>
      <x:c r="H20" s="74" t="str">
        <x:f>IF(AND(ISNUMBER(C20),ISNUMBER(D20)),E20+G20,"n.a.")</x:f>
        <x:v>n.a.</x:v>
      </x:c>
      <x:c r="I20" s="27"/>
      <x:c r="J20" s="20" t="str">
        <x:v>Proposal example total</x:v>
      </x:c>
      <x:c r="K20" s="74" t="str">
        <x:f>IF(COUNT(K13:K18)=6,SUM(K13:K18),"n.a.")</x:f>
        <x:v>n.a.</x:v>
      </x:c>
      <x:c r="L20" s="74"/>
      <x:c r="M20" s="20"/>
      <x:c r="N20" s="20"/>
      <x:c r="P20" s="76"/>
      <x:c r="Q20" s="76"/>
      <x:c r="R20" s="76"/>
      <x:c r="S20" s="76"/>
      <x:c r="T20" s="69"/>
      <x:c r="U20" s="68"/>
    </x:row>
    <x:row r="21" ht="40" customHeight="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 t="str">
        <x:v>Approved credits total</x:v>
      </x:c>
      <x:c r="K21" s="74"/>
      <x:c r="L21" s="74" t="str">
        <x:f>IF(COUNT(L13:L18)=6,SUM(L13:L18),"n.a.")</x:f>
        <x:v>n.a.</x:v>
      </x:c>
      <x:c r="M21" s="20"/>
      <x:c r="N21" s="20"/>
    </x:row>
    <x:row r="22" ht="40" customHeight="1">
      <x:c r="A22" s="20" t="str">
        <x:v>Other delivery costs (editable)</x:v>
      </x:c>
      <x:c r="B22" s="75" t="n">
        <x:v>0</x:v>
      </x:c>
      <x:c r="C22" s="20"/>
      <x:c r="D22" s="20"/>
      <x:c r="E22" s="20"/>
      <x:c r="F22" s="20"/>
      <x:c r="G22" s="20"/>
      <x:c r="H22" s="20"/>
      <x:c r="I22" s="20"/>
      <x:c r="J22" s="20" t="str">
        <x:v>Difference vs calculated services fee</x:v>
      </x:c>
      <x:c r="K22" s="74"/>
      <x:c r="L22" s="74" t="str">
        <x:f>IF(AND(ISNUMBER(L21),ISNUMBER(B25)),L21-B25,"n.a.")</x:f>
        <x:v>n.a.</x:v>
      </x:c>
      <x:c r="M22" s="20"/>
      <x:c r="N22" s="20"/>
    </x:row>
    <x:row r="23" ht="48" customHeight="1">
      <x:c r="A23" s="20" t="str">
        <x:v>Total delivery cost</x:v>
      </x:c>
      <x:c r="B23" s="74" t="str">
        <x:f>IF(AND(COUNT(C13:C20)=8,COUNT(D13:D20)=8),SUM(H13:H20)+B22,"n.a.")</x:f>
        <x:v>n.a.</x:v>
      </x:c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  <x:c r="P23" s="28" t="str">
        <x:v>Enter approved country/role-specific rates for each market. These are delivery costs, not selling rates.</x:v>
      </x:c>
      <x:c r="Q23" s="28"/>
      <x:c r="R23" s="28"/>
      <x:c r="S23" s="28"/>
      <x:c r="T23" s="28"/>
      <x:c r="U23" s="28"/>
    </x:row>
    <x:row r="24" ht="48" customHeight="1">
      <x:c r="A24" s="20" t="str">
        <x:v>Target services fee</x:v>
      </x:c>
      <x:c r="B24" s="74" t="str">
        <x:f>IF(ISNUMBER(B23),B23/(1-B8),"n.a.")</x:f>
        <x:v>n.a.</x:v>
      </x:c>
      <x:c r="C24" s="20"/>
      <x:c r="D24" s="20"/>
      <x:c r="E24" s="20"/>
      <x:c r="F24" s="20"/>
      <x:c r="G24" s="20"/>
      <x:c r="H24" s="20"/>
      <x:c r="I24" s="20"/>
      <x:c r="J24" s="20" t="str">
        <x:v>* Original proposal: INR 4,000,000 allocation. USD equivalents require a dated INR-per-USD input. This example does not set EMEA/US pricing or rates.</x:v>
      </x:c>
      <x:c r="K24" s="20"/>
      <x:c r="L24" s="20"/>
      <x:c r="M24" s="20"/>
      <x:c r="N24" s="20"/>
      <x:c r="P24" s="28" t="str">
        <x:v>Onshore share is effort share. Offshore share = 1 minus onshore share. Include location-specific cost rates even if one share is zero.</x:v>
      </x:c>
      <x:c r="Q24" s="28"/>
      <x:c r="R24" s="28"/>
      <x:c r="S24" s="28"/>
      <x:c r="T24" s="28"/>
      <x:c r="U24" s="28"/>
    </x:row>
    <x:row r="25" ht="48" customHeight="1">
      <x:c r="A25" s="20" t="str">
        <x:v>Discounted services fee</x:v>
      </x:c>
      <x:c r="B25" s="74" t="str">
        <x:f>IF(ISNUMBER(B24),B24*(1-B9),"n.a.")</x:f>
        <x:v>n.a.</x:v>
      </x:c>
      <x:c r="C25" s="20"/>
      <x:c r="D25" s="20"/>
      <x:c r="E25" s="20"/>
      <x:c r="F25" s="20"/>
      <x:c r="G25" s="20"/>
      <x:c r="H25" s="20"/>
      <x:c r="I25" s="20"/>
      <x:c r="J25" s="20" t="str">
        <x:v>Use approved USD delivery costs and country-specific onshore/offshore mix. Geography alone does not establish price. Shared costs are allocated once.</x:v>
      </x:c>
      <x:c r="K25" s="20"/>
      <x:c r="L25" s="20"/>
      <x:c r="M25" s="20"/>
      <x:c r="N25" s="20"/>
      <x:c r="P25" s="28" t="str">
        <x:v>Target market changes the blended cost, services price and margin. Consumption must be repriced for the selected Azure deployment region.</x:v>
      </x:c>
      <x:c r="Q25" s="28"/>
      <x:c r="R25" s="28"/>
      <x:c r="S25" s="28"/>
      <x:c r="T25" s="28"/>
      <x:c r="U25" s="28"/>
    </x:row>
    <x:row r="26" ht="48" customHeight="1">
      <x:c r="A26" s="20" t="str">
        <x:v>Gross profit</x:v>
      </x:c>
      <x:c r="B26" s="74" t="str">
        <x:f>IF(ISNUMBER(B25),B25-B23,"n.a.")</x:f>
        <x:v>n.a.</x:v>
      </x:c>
      <x:c r="C26" s="20"/>
      <x:c r="D26" s="20"/>
      <x:c r="E26" s="20"/>
      <x:c r="F26" s="20"/>
      <x:c r="G26" s="20"/>
      <x:c r="H26" s="20"/>
      <x:c r="I26" s="20"/>
      <x:c r="J26" s="20" t="str">
        <x:v>All customer services fees and approved tower credits use USD. Actual contracting/billing currency, taxes and pass-through treatment require Finance confirmation.</x:v>
      </x:c>
      <x:c r="K26" s="20"/>
      <x:c r="L26" s="20"/>
      <x:c r="M26" s="20"/>
      <x:c r="N26" s="20"/>
      <x:c r="P26" s="28" t="str">
        <x:v>Record rate source, approval and effective date. No market rates, exchange rates or competitor prices are invented.</x:v>
      </x:c>
      <x:c r="Q26" s="28"/>
      <x:c r="R26" s="28"/>
      <x:c r="S26" s="28"/>
      <x:c r="T26" s="28"/>
      <x:c r="U26" s="28"/>
    </x:row>
    <x:row r="27" ht="40" customHeight="1">
      <x:c r="A27" s="20" t="str">
        <x:v>Gross margin after discount</x:v>
      </x:c>
      <x:c r="B27" s="23" t="str">
        <x:f>IF(ISNUMBER(B25),IF(B25=0,"n.a.",B26/B25),"n.a.")</x:f>
        <x:v>n.a.</x:v>
      </x:c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  <x:c r="N27" s="20"/>
    </x:row>
    <x:row r="28" ht="40" customHeight="1">
      <x:c r="A28" s="20" t="str">
        <x:v>Estimated effort incl. reserve</x:v>
      </x:c>
      <x:c r="B28" s="20" t="n">
        <x:f>IF(COUNT(C13:C20)=8,SUM(C13:C20)+SUM(F13:F20),"n.a.")</x:f>
        <x:v>101.2</x:v>
      </x:c>
      <x:c r="C28" s="20"/>
      <x:c r="D28" s="20"/>
      <x:c r="E28" s="20"/>
      <x:c r="F28" s="20"/>
      <x:c r="G28" s="20"/>
      <x:c r="H28" s="20"/>
      <x:c r="I28" s="20"/>
      <x:c r="J28" s="20"/>
      <x:c r="K28" s="20"/>
      <x:c r="L28" s="20"/>
      <x:c r="M28" s="20"/>
      <x:c r="N28" s="20"/>
    </x:row>
    <x:row r="29" ht="40" customHeight="1">
      <x:c r="A29" s="20" t="str">
        <x:v>Pricing basis</x:v>
      </x:c>
      <x:c r="B29" s="20" t="str">
        <x:v>Approved USD market rates and scope-based estimate days; input cells P:U.</x:v>
      </x:c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</x:row>
    <x:row r="30" ht="40" customHeight="1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  <x:c r="M30" s="20"/>
      <x:c r="N30" s="20"/>
    </x:row>
    <x:row r="31" ht="40" customHeight="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</x:row>
    <x:row r="32" ht="36" customHeight="1">
      <x:c r="A32" s="25" t="str">
        <x:v>Monthly usage driver</x:v>
      </x:c>
      <x:c r="B32" s="25" t="str">
        <x:v>Low</x:v>
      </x:c>
      <x:c r="C32" s="25" t="str">
        <x:v>Base</x:v>
      </x:c>
      <x:c r="D32" s="25" t="str">
        <x:v>High</x:v>
      </x:c>
      <x:c r="E32" s="25" t="str">
        <x:v>Unit / assumption</x:v>
      </x:c>
      <x:c r="F32" s="25" t="str">
        <x:v>Source / validation date</x:v>
      </x:c>
      <x:c r="G32" s="25" t="str">
        <x:v>Owner</x:v>
      </x:c>
      <x:c r="H32" s="25" t="str">
        <x:v>Approval status</x:v>
      </x:c>
      <x:c r="I32" s="20"/>
      <x:c r="J32" s="20"/>
      <x:c r="K32" s="20"/>
      <x:c r="L32" s="20"/>
      <x:c r="M32" s="20"/>
      <x:c r="N32" s="20"/>
    </x:row>
    <x:row r="33" ht="40" customHeight="1">
      <x:c r="A33" s="20" t="str">
        <x:v>Eligible users</x:v>
      </x:c>
      <x:c r="B33" s="27" t="n">
        <x:v>5000</x:v>
      </x:c>
      <x:c r="C33" s="27" t="n">
        <x:v>5000</x:v>
      </x:c>
      <x:c r="D33" s="27" t="n">
        <x:v>5000</x:v>
      </x:c>
      <x:c r="E33" s="20" t="str">
        <x:v>Users, simulated scenario</x:v>
      </x:c>
      <x:c r="F33" s="27"/>
      <x:c r="G33" s="27"/>
      <x:c r="H33" s="27" t="str">
        <x:v>Proposed</x:v>
      </x:c>
      <x:c r="I33" s="20"/>
      <x:c r="J33" s="20"/>
      <x:c r="K33" s="20"/>
      <x:c r="L33" s="20"/>
      <x:c r="M33" s="20"/>
      <x:c r="N33" s="20"/>
    </x:row>
    <x:row r="34" ht="40" customHeight="1">
      <x:c r="A34" s="20" t="str">
        <x:v>Active adoption</x:v>
      </x:c>
      <x:c r="B34" s="36" t="n">
        <x:v>0.1</x:v>
      </x:c>
      <x:c r="C34" s="36" t="n">
        <x:v>0.2</x:v>
      </x:c>
      <x:c r="D34" s="36" t="n">
        <x:v>0.4</x:v>
      </x:c>
      <x:c r="E34" s="20" t="str">
        <x:v>Fraction of eligible users</x:v>
      </x:c>
      <x:c r="F34" s="27"/>
      <x:c r="G34" s="27"/>
      <x:c r="H34" s="27" t="str">
        <x:v>Proposed</x:v>
      </x:c>
      <x:c r="I34" s="20"/>
      <x:c r="J34" s="20"/>
      <x:c r="K34" s="20"/>
      <x:c r="L34" s="20"/>
      <x:c r="M34" s="20"/>
      <x:c r="N34" s="20"/>
    </x:row>
    <x:row r="35" ht="40" customHeight="1">
      <x:c r="A35" s="20" t="str">
        <x:v>Requests / active user / month</x:v>
      </x:c>
      <x:c r="B35" s="27" t="n">
        <x:v>10</x:v>
      </x:c>
      <x:c r="C35" s="27" t="n">
        <x:v>20</x:v>
      </x:c>
      <x:c r="D35" s="27" t="n">
        <x:v>30</x:v>
      </x:c>
      <x:c r="E35" s="20" t="str">
        <x:v>Requests</x:v>
      </x:c>
      <x:c r="F35" s="27"/>
      <x:c r="G35" s="27"/>
      <x:c r="H35" s="27" t="str">
        <x:v>Proposed</x:v>
      </x:c>
      <x:c r="I35" s="20"/>
      <x:c r="J35" s="20"/>
      <x:c r="K35" s="20"/>
      <x:c r="L35" s="20"/>
      <x:c r="M35" s="20"/>
      <x:c r="N35" s="20"/>
    </x:row>
    <x:row r="36" ht="40" customHeight="1">
      <x:c r="A36" s="20" t="str">
        <x:v>Average input tokens / request</x:v>
      </x:c>
      <x:c r="B36" s="27" t="n">
        <x:v>2000</x:v>
      </x:c>
      <x:c r="C36" s="27" t="n">
        <x:v>3000</x:v>
      </x:c>
      <x:c r="D36" s="27" t="n">
        <x:v>4000</x:v>
      </x:c>
      <x:c r="E36" s="20" t="str">
        <x:v>Include grounding/history/tool loops</x:v>
      </x:c>
      <x:c r="F36" s="27"/>
      <x:c r="G36" s="27"/>
      <x:c r="H36" s="27" t="str">
        <x:v>Proposed</x:v>
      </x:c>
      <x:c r="I36" s="20"/>
      <x:c r="J36" s="20"/>
      <x:c r="K36" s="20"/>
      <x:c r="L36" s="20"/>
      <x:c r="M36" s="20"/>
      <x:c r="N36" s="20"/>
    </x:row>
    <x:row r="37" ht="40" customHeight="1">
      <x:c r="A37" s="20" t="str">
        <x:v>Average output tokens / request</x:v>
      </x:c>
      <x:c r="B37" s="27" t="n">
        <x:v>500</x:v>
      </x:c>
      <x:c r="C37" s="27" t="n">
        <x:v>750</x:v>
      </x:c>
      <x:c r="D37" s="27" t="n">
        <x:v>1000</x:v>
      </x:c>
      <x:c r="E37" s="20" t="str">
        <x:v>Tokens</x:v>
      </x:c>
      <x:c r="F37" s="27"/>
      <x:c r="G37" s="27"/>
      <x:c r="H37" s="27" t="str">
        <x:v>Proposed</x:v>
      </x:c>
      <x:c r="I37" s="20"/>
      <x:c r="J37" s="20"/>
      <x:c r="K37" s="20"/>
      <x:c r="L37" s="20"/>
      <x:c r="M37" s="20"/>
      <x:c r="N37" s="20"/>
    </x:row>
    <x:row r="38" ht="40" customHeight="1">
      <x:c r="A38" s="20" t="str">
        <x:v>Input price / million tokens</x:v>
      </x:c>
      <x:c r="B38" s="75"/>
      <x:c r="C38" s="75"/>
      <x:c r="D38" s="75"/>
      <x:c r="E38" s="20" t="str">
        <x:v>USD per million tokens; selected model/region</x:v>
      </x:c>
      <x:c r="F38" s="27"/>
      <x:c r="G38" s="27"/>
      <x:c r="H38" s="27" t="str">
        <x:v>Proposed</x:v>
      </x:c>
      <x:c r="I38" s="20"/>
      <x:c r="J38" s="20"/>
      <x:c r="K38" s="20"/>
      <x:c r="L38" s="20"/>
      <x:c r="M38" s="20"/>
      <x:c r="N38" s="20"/>
    </x:row>
    <x:row r="39" ht="40" customHeight="1">
      <x:c r="A39" s="20" t="str">
        <x:v>Output price / million tokens</x:v>
      </x:c>
      <x:c r="B39" s="75"/>
      <x:c r="C39" s="75"/>
      <x:c r="D39" s="75"/>
      <x:c r="E39" s="20" t="str">
        <x:v>USD per million tokens; selected model/region</x:v>
      </x:c>
      <x:c r="F39" s="27"/>
      <x:c r="G39" s="27"/>
      <x:c r="H39" s="27" t="str">
        <x:v>Proposed</x:v>
      </x:c>
      <x:c r="I39" s="20"/>
      <x:c r="J39" s="20"/>
      <x:c r="K39" s="20"/>
      <x:c r="L39" s="20"/>
      <x:c r="M39" s="20"/>
      <x:c r="N39" s="20"/>
    </x:row>
    <x:row r="40" ht="40" customHeight="1">
      <x:c r="A40" s="20" t="str">
        <x:v>Other monthly Azure charges</x:v>
      </x:c>
      <x:c r="B40" s="75"/>
      <x:c r="C40" s="75"/>
      <x:c r="D40" s="75"/>
      <x:c r="E40" s="20" t="str">
        <x:v>USD/month: selected Azure services and regions</x:v>
      </x:c>
      <x:c r="F40" s="27"/>
      <x:c r="G40" s="27"/>
      <x:c r="H40" s="27" t="str">
        <x:v>Proposed</x:v>
      </x:c>
      <x:c r="I40" s="20"/>
      <x:c r="J40" s="20"/>
      <x:c r="K40" s="20"/>
      <x:c r="L40" s="20"/>
      <x:c r="M40" s="20"/>
      <x:c r="N40" s="20"/>
    </x:row>
    <x:row r="41" ht="40" customHeight="1">
      <x:c r="A41" s="20" t="str">
        <x:v>Monthly license charges</x:v>
      </x:c>
      <x:c r="B41" s="75"/>
      <x:c r="C41" s="75"/>
      <x:c r="D41" s="75"/>
      <x:c r="E41" s="20" t="str">
        <x:v>USD/month: approved M365/Studio licensing route</x:v>
      </x:c>
      <x:c r="F41" s="27"/>
      <x:c r="G41" s="27"/>
      <x:c r="H41" s="27" t="str">
        <x:v>Proposed</x:v>
      </x:c>
      <x:c r="I41" s="20"/>
      <x:c r="J41" s="20"/>
      <x:c r="K41" s="20"/>
      <x:c r="L41" s="20"/>
      <x:c r="M41" s="20"/>
      <x:c r="N41" s="20"/>
    </x:row>
    <x:row r="42" ht="40" customHeight="1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20"/>
      <x:c r="M42" s="20"/>
      <x:c r="N42" s="20"/>
    </x:row>
    <x:row r="43" ht="36" customHeight="1">
      <x:c r="A43" s="25" t="str">
        <x:v>Monthly result</x:v>
      </x:c>
      <x:c r="B43" s="25" t="str">
        <x:v>Low</x:v>
      </x:c>
      <x:c r="C43" s="25" t="str">
        <x:v>Base</x:v>
      </x:c>
      <x:c r="D43" s="25" t="str">
        <x:v>High</x:v>
      </x:c>
      <x:c r="E43" s="25" t="str">
        <x:v>Interpretation</x:v>
      </x:c>
      <x:c r="F43" s="20"/>
      <x:c r="G43" s="20"/>
      <x:c r="H43" s="20"/>
      <x:c r="I43" s="20"/>
      <x:c r="J43" s="20"/>
      <x:c r="K43" s="20"/>
      <x:c r="L43" s="20"/>
      <x:c r="M43" s="20"/>
      <x:c r="N43" s="20"/>
    </x:row>
    <x:row r="44" ht="40" customHeight="1">
      <x:c r="A44" s="20" t="str">
        <x:v>Requests</x:v>
      </x:c>
      <x:c r="B44" s="39" t="n">
        <x:f>B33*B34*B35</x:f>
        <x:v>5000</x:v>
      </x:c>
      <x:c r="C44" s="39" t="n">
        <x:f>C33*C34*C35</x:f>
        <x:v>20000</x:v>
      </x:c>
      <x:c r="D44" s="39" t="n">
        <x:f>D33*D34*D35</x:f>
        <x:v>60000</x:v>
      </x:c>
      <x:c r="E44" s="20" t="str">
        <x:v>Users × adoption × requests/user</x:v>
      </x:c>
      <x:c r="F44" s="20"/>
      <x:c r="G44" s="20"/>
      <x:c r="H44" s="20"/>
      <x:c r="I44" s="20"/>
      <x:c r="J44" s="20"/>
      <x:c r="K44" s="20"/>
      <x:c r="L44" s="20"/>
      <x:c r="M44" s="20"/>
      <x:c r="N44" s="20"/>
    </x:row>
    <x:row r="45" ht="40" customHeight="1">
      <x:c r="A45" s="20" t="str">
        <x:v>Input tokens</x:v>
      </x:c>
      <x:c r="B45" s="39" t="n">
        <x:f>B44*B36</x:f>
        <x:v>10000000</x:v>
      </x:c>
      <x:c r="C45" s="39" t="n">
        <x:f>C44*C36</x:f>
        <x:v>60000000</x:v>
      </x:c>
      <x:c r="D45" s="39" t="n">
        <x:f>D44*D36</x:f>
        <x:v>240000000</x:v>
      </x:c>
      <x:c r="E45" s="20" t="str">
        <x:v>Requests × average input tokens</x:v>
      </x:c>
      <x:c r="F45" s="20"/>
      <x:c r="G45" s="20"/>
      <x:c r="H45" s="20"/>
      <x:c r="I45" s="20"/>
      <x:c r="J45" s="20"/>
      <x:c r="K45" s="20"/>
      <x:c r="L45" s="20"/>
      <x:c r="M45" s="20"/>
      <x:c r="N45" s="20"/>
    </x:row>
    <x:row r="46" ht="40" customHeight="1">
      <x:c r="A46" s="20" t="str">
        <x:v>Output tokens</x:v>
      </x:c>
      <x:c r="B46" s="39" t="n">
        <x:f>B44*B37</x:f>
        <x:v>2500000</x:v>
      </x:c>
      <x:c r="C46" s="39" t="n">
        <x:f>C44*C37</x:f>
        <x:v>15000000</x:v>
      </x:c>
      <x:c r="D46" s="39" t="n">
        <x:f>D44*D37</x:f>
        <x:v>60000000</x:v>
      </x:c>
      <x:c r="E46" s="20" t="str">
        <x:v>Requests × average output tokens</x:v>
      </x:c>
      <x:c r="F46" s="20"/>
      <x:c r="G46" s="20"/>
      <x:c r="H46" s="20"/>
      <x:c r="I46" s="20"/>
      <x:c r="J46" s="20"/>
      <x:c r="K46" s="20"/>
      <x:c r="L46" s="20"/>
      <x:c r="M46" s="20"/>
      <x:c r="N46" s="20"/>
    </x:row>
    <x:row r="47" ht="65" customHeight="1">
      <x:c r="A47" s="20" t="str">
        <x:v>Cloud + license total</x:v>
      </x:c>
      <x:c r="B47" s="74" t="str">
        <x:f>IF(COUNT(B38:B41)=4,B45/1000000*B38+B46/1000000*B39+B40+B41,"n.a.")</x:f>
        <x:v>n.a.</x:v>
      </x:c>
      <x:c r="C47" s="74" t="str">
        <x:f>IF(COUNT(C38:C41)=4,C45/1000000*C38+C46/1000000*C39+C40+C41,"n.a.")</x:f>
        <x:v>n.a.</x:v>
      </x:c>
      <x:c r="D47" s="74" t="str">
        <x:f>IF(COUNT(D38:D41)=4,D45/1000000*D38+D46/1000000*D39+D40+D41,"n.a.")</x:f>
        <x:v>n.a.</x:v>
      </x:c>
      <x:c r="E47" s="20" t="str">
        <x:v>Unavailable until all prices and other charges are entered; zero is allowed if justified</x:v>
      </x:c>
      <x:c r="F47" s="20"/>
      <x:c r="G47" s="20"/>
      <x:c r="H47" s="20"/>
      <x:c r="I47" s="20"/>
      <x:c r="J47" s="20"/>
      <x:c r="K47" s="20"/>
      <x:c r="L47" s="20"/>
      <x:c r="M47" s="20"/>
      <x:c r="N47" s="20"/>
    </x:row>
    <x:row r="48" ht="40" customHeight="1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20"/>
      <x:c r="M48" s="20"/>
      <x:c r="N48" s="20"/>
    </x:row>
    <x:row r="49" ht="40" customHeight="1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</x:row>
    <x:row r="50" ht="36" customHeight="1">
      <x:c r="A50" s="25" t="str">
        <x:v>Recurring operations item</x:v>
      </x:c>
      <x:c r="B50" s="25" t="str">
        <x:v>Quantity/month</x:v>
      </x:c>
      <x:c r="C50" s="25" t="str">
        <x:v>Unit cost USD</x:v>
      </x:c>
      <x:c r="D50" s="25" t="str">
        <x:v>Monthly cost USD</x:v>
      </x:c>
      <x:c r="E50" s="25" t="str">
        <x:v>Unit / scope</x:v>
      </x:c>
      <x:c r="F50" s="25" t="str">
        <x:v>Owner</x:v>
      </x:c>
      <x:c r="G50" s="25" t="str">
        <x:v>Rate/source approval</x:v>
      </x:c>
      <x:c r="H50" s="20"/>
      <x:c r="I50" s="20"/>
      <x:c r="J50" s="20"/>
      <x:c r="K50" s="20"/>
      <x:c r="L50" s="20"/>
      <x:c r="M50" s="20"/>
      <x:c r="N50" s="20"/>
    </x:row>
    <x:row r="51" ht="40" customHeight="1">
      <x:c r="A51" s="20" t="str">
        <x:v>Platform operations coverage</x:v>
      </x:c>
      <x:c r="B51" s="27"/>
      <x:c r="C51" s="75"/>
      <x:c r="D51" s="74" t="str">
        <x:f>IF(COUNT(B51:C51)=2,B51*C51,"n.a.")</x:f>
        <x:v>n.a.</x:v>
      </x:c>
      <x:c r="E51" s="27" t="str">
        <x:v>Role days or agreed service units; specify hours</x:v>
      </x:c>
      <x:c r="F51" s="27"/>
      <x:c r="G51" s="27"/>
      <x:c r="H51" s="20"/>
      <x:c r="I51" s="20"/>
      <x:c r="J51" s="20"/>
      <x:c r="K51" s="20"/>
      <x:c r="L51" s="20"/>
      <x:c r="M51" s="20"/>
      <x:c r="N51" s="20"/>
    </x:row>
    <x:row r="52" ht="40" customHeight="1">
      <x:c r="A52" s="20" t="str">
        <x:v>Specialist support</x:v>
      </x:c>
      <x:c r="B52" s="27"/>
      <x:c r="C52" s="75"/>
      <x:c r="D52" s="74" t="str">
        <x:f>IF(COUNT(B52:C52)=2,B52*C52,"n.a.")</x:f>
        <x:v>n.a.</x:v>
      </x:c>
      <x:c r="E52" s="27" t="str">
        <x:v>Contracted tower support only</x:v>
      </x:c>
      <x:c r="F52" s="27"/>
      <x:c r="G52" s="27"/>
      <x:c r="H52" s="20"/>
      <x:c r="I52" s="20"/>
      <x:c r="J52" s="20"/>
      <x:c r="K52" s="20"/>
      <x:c r="L52" s="20"/>
      <x:c r="M52" s="20"/>
      <x:c r="N52" s="20"/>
    </x:row>
    <x:row r="53" ht="40" customHeight="1">
      <x:c r="A53" s="20" t="str">
        <x:v>Reporting / recovery / changes</x:v>
      </x:c>
      <x:c r="B53" s="27"/>
      <x:c r="C53" s="75"/>
      <x:c r="D53" s="74" t="str">
        <x:f>IF(COUNT(B53:C53)=2,B53*C53,"n.a.")</x:f>
        <x:v>n.a.</x:v>
      </x:c>
      <x:c r="E53" s="27" t="str">
        <x:v>Explicit included units and excess charging</x:v>
      </x:c>
      <x:c r="F53" s="27"/>
      <x:c r="G53" s="27"/>
      <x:c r="H53" s="20"/>
      <x:c r="I53" s="20"/>
      <x:c r="J53" s="20"/>
      <x:c r="K53" s="20"/>
      <x:c r="L53" s="20"/>
      <x:c r="M53" s="20"/>
      <x:c r="N53" s="20"/>
    </x:row>
    <x:row r="54" ht="40" customHeight="1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20"/>
      <x:c r="M54" s="20"/>
      <x:c r="N54" s="20"/>
    </x:row>
    <x:row r="55" ht="40" customHeight="1">
      <x:c r="A55" s="20" t="str">
        <x:v>Monthly operations cost USD</x:v>
      </x:c>
      <x:c r="B55" s="74" t="str">
        <x:f>IF(COUNT(D51:D53)=3,SUM(D51:D53),"n.a.")</x:f>
        <x:v>n.a.</x:v>
      </x:c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</x:row>
    <x:row r="56" ht="40" customHeight="1">
      <x:c r="A56" s="20" t="str">
        <x:v>Operations target margin</x:v>
      </x:c>
      <x:c r="B56" s="36" t="n">
        <x:v>0.3</x:v>
      </x:c>
      <x:c r="C56" s="20"/>
      <x:c r="D56" s="20"/>
      <x:c r="E56" s="20"/>
      <x:c r="F56" s="20"/>
      <x:c r="G56" s="20"/>
      <x:c r="H56" s="20"/>
      <x:c r="I56" s="20"/>
      <x:c r="J56" s="20"/>
      <x:c r="K56" s="20"/>
      <x:c r="L56" s="20"/>
      <x:c r="M56" s="20"/>
      <x:c r="N56" s="20"/>
    </x:row>
    <x:row r="57" ht="40" customHeight="1">
      <x:c r="A57" s="20" t="str">
        <x:v>Monthly services fee USD</x:v>
      </x:c>
      <x:c r="B57" s="74" t="str">
        <x:f>IF(ISNUMBER(B55),B55/(1-B56),"n.a.")</x:f>
        <x:v>n.a.</x:v>
      </x:c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 ht="48" customHeight="1">
      <x:c r="A60" s="3" t="str">
        <x:v>Assumptions: usage scenarios are synthetic, not customer demand or benchmark evidence. Estimate separately by model and workload in a live pursuit.</x:v>
      </x:c>
      <x:c r="B60" s="3"/>
      <x:c r="C60" s="3"/>
      <x:c r="D60" s="3"/>
      <x:c r="E60" s="3"/>
      <x:c r="F60" s="3"/>
      <x:c r="G60" s="3"/>
      <x:c r="H60" s="3"/>
      <x:c r="I60" s="1"/>
      <x:c r="J60" s="1"/>
      <x:c r="K60" s="1"/>
      <x:c r="L60" s="1"/>
      <x:c r="M60" s="1"/>
      <x:c r="N60" s="1"/>
    </x:row>
    <x:row r="61" ht="48" customHeight="1">
      <x:c r="A61" s="3" t="str">
        <x:v>Platform charges must include selected regions, environments, resilience, networking and telemetry. Studio/M365 charging may use different meters: validate the actual license and usage route.</x:v>
      </x:c>
      <x:c r="B61" s="3"/>
      <x:c r="C61" s="3"/>
      <x:c r="D61" s="3"/>
      <x:c r="E61" s="3"/>
      <x:c r="F61" s="3"/>
      <x:c r="G61" s="3"/>
      <x:c r="H61" s="3"/>
      <x:c r="I61" s="1"/>
      <x:c r="J61" s="1"/>
      <x:c r="K61" s="1"/>
      <x:c r="L61" s="1"/>
      <x:c r="M61" s="1"/>
      <x:c r="N61" s="1"/>
    </x:row>
    <x:row r="62" ht="48" customHeight="1">
      <x:c r="A62" s="3" t="str">
        <x:v>Business case: record baseline effort, eligible volume, adoption, net time saved, realization factor and benefit owner. Do not claim modeled hours saved as cash savings without validation.</x:v>
      </x:c>
      <x:c r="B62" s="3"/>
      <x:c r="C62" s="3"/>
      <x:c r="D62" s="3"/>
      <x:c r="E62" s="3"/>
      <x:c r="F62" s="3"/>
      <x:c r="G62" s="3"/>
      <x:c r="H62" s="3"/>
      <x:c r="I62" s="1"/>
      <x:c r="J62" s="1"/>
      <x:c r="K62" s="1"/>
      <x:c r="L62" s="1"/>
      <x:c r="M62" s="1"/>
      <x:c r="N62" s="1"/>
    </x:row>
    <x:row r="63" ht="48" customHeight="1">
      <x:c r="A63" s="3" t="str">
        <x:v>Rates/prices/FX need source and date. USD is the comparison currency, not an assumption about local billing. Confirm country, tax treatment and funding with the approved owners.</x:v>
      </x:c>
      <x:c r="B63" s="3"/>
      <x:c r="C63" s="3"/>
      <x:c r="D63" s="3"/>
      <x:c r="E63" s="3"/>
      <x:c r="F63" s="3"/>
      <x:c r="G63" s="3"/>
      <x:c r="H63" s="3"/>
      <x:c r="I63" s="1"/>
      <x:c r="J63" s="1"/>
      <x:c r="K63" s="1"/>
      <x:c r="L63" s="1"/>
      <x:c r="M63" s="1"/>
      <x:c r="N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</x:row>
  </x:sheetData>
  <x:mergeCells>
    <x:mergeCell ref="J24:N24"/>
    <x:mergeCell ref="J25:N25"/>
    <x:mergeCell ref="J26:N26"/>
    <x:mergeCell ref="A60:H60"/>
    <x:mergeCell ref="A61:H61"/>
    <x:mergeCell ref="A62:H62"/>
    <x:mergeCell ref="A63:H63"/>
    <x:mergeCell ref="P23:U23"/>
    <x:mergeCell ref="P24:U24"/>
    <x:mergeCell ref="P25:U25"/>
    <x:mergeCell ref="P26:U26"/>
    <x:mergeCell ref="C5:I5"/>
    <x:mergeCell ref="C6:I6"/>
    <x:mergeCell ref="C7:I7"/>
    <x:mergeCell ref="C8:I8"/>
    <x:mergeCell ref="C9:I9"/>
    <x:mergeCell ref="C10:I10"/>
    <x:mergeCell ref="C11:I11"/>
  </x:mergeCells>
  <x:dataValidations count="9">
    <x:dataValidation type="decimal" operator="greaterThanOrEqual" sqref="D13:D20">
      <x:formula1>0</x:formula1>
    </x:dataValidation>
    <x:dataValidation type="decimal" operator="between" sqref="B8">
      <x:formula1>0</x:formula1>
      <x:formula2>0.99</x:formula2>
    </x:dataValidation>
    <x:dataValidation type="decimal" operator="between" sqref="B9">
      <x:formula1>0</x:formula1>
      <x:formula2>1</x:formula2>
    </x:dataValidation>
    <x:dataValidation type="list" sqref="H33:H41">
      <x:formula1>"Proposed,Validated,Approved"</x:formula1>
    </x:dataValidation>
    <x:dataValidation type="decimal" operator="between" sqref="B56">
      <x:formula1>0</x:formula1>
      <x:formula2>0.99</x:formula2>
    </x:dataValidation>
    <x:dataValidation type="decimal" operator="greaterThan" sqref="B10">
      <x:formula1>0</x:formula1>
    </x:dataValidation>
    <x:dataValidation type="list" sqref="B11">
      <x:formula1>"EMEA,US"</x:formula1>
    </x:dataValidation>
    <x:dataValidation type="decimal" operator="greaterThanOrEqual" sqref="P13:S20">
      <x:formula1>0</x:formula1>
    </x:dataValidation>
    <x:dataValidation type="decimal" operator="between" sqref="T13:T20">
      <x:formula1>0</x:formula1>
      <x:formula2>1</x:formula2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" hidden="0" customWidth="1"/>
    <x:col min="2" max="2" width="12" hidden="0" customWidth="1"/>
    <x:col min="3" max="3" width="12" hidden="0" customWidth="1"/>
    <x:col min="4" max="4" width="45" hidden="0" customWidth="1"/>
    <x:col min="5" max="5" width="47" hidden="0" customWidth="1"/>
    <x:col min="6" max="6" width="75" hidden="0" customWidth="1"/>
    <x:col min="7" max="7" width="13" hidden="0" customWidth="1"/>
    <x:col min="8" max="8" width="17" hidden="0" customWidth="1"/>
    <x:col min="9" max="9" width="60" hidden="0" customWidth="1"/>
    <x:col min="10" max="10" width="30" hidden="0" customWidth="1"/>
    <x:col min="11" max="11" width="16" hidden="0" customWidth="1"/>
    <x:col min="12" max="12" width="1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30-day offering validation, separate from learning and delivery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6" customHeight="1">
      <x:c r="A5" s="26" t="str">
        <x:v>ID</x:v>
      </x:c>
      <x:c r="B5" s="26" t="str">
        <x:v>Start day</x:v>
      </x:c>
      <x:c r="C5" s="26" t="str">
        <x:v>End day</x:v>
      </x:c>
      <x:c r="D5" s="26" t="str">
        <x:v>Gate</x:v>
      </x:c>
      <x:c r="E5" s="26" t="str">
        <x:v>Accountable role</x:v>
      </x:c>
      <x:c r="F5" s="26" t="str">
        <x:v>Pass evidence</x:v>
      </x:c>
      <x:c r="G5" s="26" t="str">
        <x:v>Priority</x:v>
      </x:c>
      <x:c r="H5" s="26" t="str">
        <x:v>Evidence status</x:v>
      </x:c>
      <x:c r="I5" s="26" t="str">
        <x:v>Evidence / decision</x:v>
      </x:c>
      <x:c r="J5" s="26" t="str">
        <x:v>Named approver</x:v>
      </x:c>
      <x:c r="K5" s="26" t="str">
        <x:v>Start date</x:v>
      </x:c>
      <x:c r="L5" s="26" t="str">
        <x:v>End date</x:v>
      </x:c>
    </x:row>
    <x:row r="6" ht="75" customHeight="1">
      <x:c r="A6" s="20" t="str">
        <x:v>G01</x:v>
      </x:c>
      <x:c r="B6" s="20" t="n">
        <x:v>1</x:v>
      </x:c>
      <x:c r="C6" s="20" t="n">
        <x:v>7</x:v>
      </x:c>
      <x:c r="D6" s="20" t="str">
        <x:v>Offer scope and tower boundaries</x:v>
      </x:c>
      <x:c r="E6" s="20" t="str">
        <x:v>Infra sponsor + tower leads</x:v>
      </x:c>
      <x:c r="F6" s="20" t="str">
        <x:v>Three bounded cards; Terraform/identity/observability ownership resolved</x:v>
      </x:c>
      <x:c r="G6" s="20" t="str">
        <x:v>Critical</x:v>
      </x:c>
      <x:c r="H6" s="27" t="str">
        <x:v>Proposed</x:v>
      </x:c>
      <x:c r="I6" s="27"/>
      <x:c r="J6" s="27"/>
      <x:c r="K6" s="21" t="n">
        <x:f>'Start Here'!B7+B6-1</x:f>
        <x:v>46307</x:v>
      </x:c>
      <x:c r="L6" s="21" t="n">
        <x:f>'Start Here'!B7+C6-1</x:f>
        <x:v>46313</x:v>
      </x:c>
    </x:row>
    <x:row r="7" ht="75" customHeight="1">
      <x:c r="A7" s="20" t="str">
        <x:v>G02</x:v>
      </x:c>
      <x:c r="B7" s="20" t="n">
        <x:v>1</x:v>
      </x:c>
      <x:c r="C7" s="20" t="n">
        <x:v>7</x:v>
      </x:c>
      <x:c r="D7" s="20" t="str">
        <x:v>Named leads and committed validation effort</x:v>
      </x:c>
      <x:c r="E7" s="20" t="str">
        <x:v>Tower delivery leads</x:v>
      </x:c>
      <x:c r="F7" s="20" t="str">
        <x:v>Named leads/backup, role days, deliverables, required dates and support</x:v>
      </x:c>
      <x:c r="G7" s="20" t="str">
        <x:v>Critical</x:v>
      </x:c>
      <x:c r="H7" s="27" t="str">
        <x:v>Proposed</x:v>
      </x:c>
      <x:c r="I7" s="27"/>
      <x:c r="J7" s="27"/>
      <x:c r="K7" s="21" t="n">
        <x:f>'Start Here'!B7+B7-1</x:f>
        <x:v>46307</x:v>
      </x:c>
      <x:c r="L7" s="21" t="n">
        <x:f>'Start Here'!B7+C7-1</x:f>
        <x:v>46313</x:v>
      </x:c>
    </x:row>
    <x:row r="8" ht="75" customHeight="1">
      <x:c r="A8" s="20" t="str">
        <x:v>G03</x:v>
      </x:c>
      <x:c r="B8" s="20" t="n">
        <x:v>8</x:v>
      </x:c>
      <x:c r="C8" s="20" t="n">
        <x:v>14</x:v>
      </x:c>
      <x:c r="D8" s="20" t="str">
        <x:v>Demand and account qualification</x:v>
      </x:c>
      <x:c r="E8" s="20" t="str">
        <x:v>Account lead + Infra solution owner</x:v>
      </x:c>
      <x:c r="F8" s="20" t="str">
        <x:v>Three candidate accounts; at least one credible funded workload route</x:v>
      </x:c>
      <x:c r="G8" s="20" t="str">
        <x:v>Critical</x:v>
      </x:c>
      <x:c r="H8" s="27" t="str">
        <x:v>Proposed</x:v>
      </x:c>
      <x:c r="I8" s="27"/>
      <x:c r="J8" s="27"/>
      <x:c r="K8" s="21" t="n">
        <x:f>'Start Here'!B7+B8-1</x:f>
        <x:v>46314</x:v>
      </x:c>
      <x:c r="L8" s="21" t="n">
        <x:f>'Start Here'!B7+C8-1</x:f>
        <x:v>46320</x:v>
      </x:c>
    </x:row>
    <x:row r="9" ht="75" customHeight="1">
      <x:c r="A9" s="20" t="str">
        <x:v>G04</x:v>
      </x:c>
      <x:c r="B9" s="20" t="n">
        <x:v>8</x:v>
      </x:c>
      <x:c r="C9" s="20" t="n">
        <x:v>14</x:v>
      </x:c>
      <x:c r="D9" s="20" t="str">
        <x:v>Architecture and capacity feasibility</x:v>
      </x:c>
      <x:c r="E9" s="20" t="str">
        <x:v>Infra + AI + Security</x:v>
      </x:c>
      <x:c r="F9" s="20" t="str">
        <x:v>Selected service/SKU/region, capacity, network route and source rights validated</x:v>
      </x:c>
      <x:c r="G9" s="20" t="str">
        <x:v>Critical</x:v>
      </x:c>
      <x:c r="H9" s="27" t="str">
        <x:v>Proposed</x:v>
      </x:c>
      <x:c r="I9" s="27"/>
      <x:c r="J9" s="27"/>
      <x:c r="K9" s="21" t="n">
        <x:f>'Start Here'!B7+B9-1</x:f>
        <x:v>46314</x:v>
      </x:c>
      <x:c r="L9" s="21" t="n">
        <x:f>'Start Here'!B7+C9-1</x:f>
        <x:v>46320</x:v>
      </x:c>
    </x:row>
    <x:row r="10" ht="75" customHeight="1">
      <x:c r="A10" s="20" t="str">
        <x:v>G05</x:v>
      </x:c>
      <x:c r="B10" s="20" t="n">
        <x:v>15</x:v>
      </x:c>
      <x:c r="C10" s="20" t="n">
        <x:v>21</x:v>
      </x:c>
      <x:c r="D10" s="20" t="str">
        <x:v>Reusable deployment and workload evidence</x:v>
      </x:c>
      <x:c r="E10" s="20" t="str">
        <x:v>DevOps + Infra + AI + Engineering</x:v>
      </x:c>
      <x:c r="F10" s="20" t="str">
        <x:v>Reproducible deployment; separate platform/workload tests; gaps disclosed</x:v>
      </x:c>
      <x:c r="G10" s="20" t="str">
        <x:v>Critical</x:v>
      </x:c>
      <x:c r="H10" s="27" t="str">
        <x:v>Proposed</x:v>
      </x:c>
      <x:c r="I10" s="27"/>
      <x:c r="J10" s="27"/>
      <x:c r="K10" s="21" t="n">
        <x:f>'Start Here'!B7+B10-1</x:f>
        <x:v>46321</x:v>
      </x:c>
      <x:c r="L10" s="21" t="n">
        <x:f>'Start Here'!B7+C10-1</x:f>
        <x:v>46327</x:v>
      </x:c>
    </x:row>
    <x:row r="11" ht="75" customHeight="1">
      <x:c r="A11" s="20" t="str">
        <x:v>G06</x:v>
      </x:c>
      <x:c r="B11" s="20" t="n">
        <x:v>15</x:v>
      </x:c>
      <x:c r="C11" s="20" t="n">
        <x:v>21</x:v>
      </x:c>
      <x:c r="D11" s="20" t="str">
        <x:v>Cost, price and tower attribution</x:v>
      </x:c>
      <x:c r="E11" s="20" t="str">
        <x:v>Finance + commercial owner</x:v>
      </x:c>
      <x:c r="F11" s="20" t="str">
        <x:v>Approved rates, margin definition, allocation and shared cost treatment</x:v>
      </x:c>
      <x:c r="G11" s="20" t="str">
        <x:v>Critical</x:v>
      </x:c>
      <x:c r="H11" s="27" t="str">
        <x:v>Proposed</x:v>
      </x:c>
      <x:c r="I11" s="27"/>
      <x:c r="J11" s="27"/>
      <x:c r="K11" s="21" t="n">
        <x:f>'Start Here'!B7+B11-1</x:f>
        <x:v>46321</x:v>
      </x:c>
      <x:c r="L11" s="21" t="n">
        <x:f>'Start Here'!B7+C11-1</x:f>
        <x:v>46327</x:v>
      </x:c>
    </x:row>
    <x:row r="12" ht="75" customHeight="1">
      <x:c r="A12" s="20" t="str">
        <x:v>G07</x:v>
      </x:c>
      <x:c r="B12" s="20" t="n">
        <x:v>15</x:v>
      </x:c>
      <x:c r="C12" s="20" t="n">
        <x:v>21</x:v>
      </x:c>
      <x:c r="D12" s="20" t="str">
        <x:v>Operations and support model</x:v>
      </x:c>
      <x:c r="E12" s="20" t="str">
        <x:v>Platform and specialist service owners</x:v>
      </x:c>
      <x:c r="F12" s="20" t="str">
        <x:v>Coverage, resolver routing, access, recovery and handover commitments</x:v>
      </x:c>
      <x:c r="G12" s="20" t="str">
        <x:v>Critical</x:v>
      </x:c>
      <x:c r="H12" s="27" t="str">
        <x:v>Proposed</x:v>
      </x:c>
      <x:c r="I12" s="27"/>
      <x:c r="J12" s="27"/>
      <x:c r="K12" s="21" t="n">
        <x:f>'Start Here'!B7+B12-1</x:f>
        <x:v>46321</x:v>
      </x:c>
      <x:c r="L12" s="21" t="n">
        <x:f>'Start Here'!B7+C12-1</x:f>
        <x:v>46327</x:v>
      </x:c>
    </x:row>
    <x:row r="13" ht="75" customHeight="1">
      <x:c r="A13" s="20" t="str">
        <x:v>G08</x:v>
      </x:c>
      <x:c r="B13" s="20" t="n">
        <x:v>22</x:v>
      </x:c>
      <x:c r="C13" s="20" t="n">
        <x:v>30</x:v>
      </x:c>
      <x:c r="D13" s="20" t="str">
        <x:v>Seller pack and external positioning</x:v>
      </x:c>
      <x:c r="E13" s="20" t="str">
        <x:v>Account/offer owner + alliance/branding owners</x:v>
      </x:c>
      <x:c r="F13" s="20" t="str">
        <x:v>Approved offer card, evidence, estimate, objections and Microsoft positioning</x:v>
      </x:c>
      <x:c r="G13" s="20" t="str">
        <x:v>Critical</x:v>
      </x:c>
      <x:c r="H13" s="27" t="str">
        <x:v>Proposed</x:v>
      </x:c>
      <x:c r="I13" s="27"/>
      <x:c r="J13" s="27"/>
      <x:c r="K13" s="21" t="n">
        <x:f>'Start Here'!B7+B13-1</x:f>
        <x:v>46328</x:v>
      </x:c>
      <x:c r="L13" s="21" t="n">
        <x:f>'Start Here'!B7+C13-1</x:f>
        <x:v>46336</x:v>
      </x:c>
    </x:row>
    <x:row r="14" ht="75" customHeight="1">
      <x:c r="A14" s="20" t="str">
        <x:v>G09</x:v>
      </x:c>
      <x:c r="B14" s="20" t="n">
        <x:v>22</x:v>
      </x:c>
      <x:c r="C14" s="20" t="n">
        <x:v>30</x:v>
      </x:c>
      <x:c r="D14" s="20" t="str">
        <x:v>Launch / refine / stop review</x:v>
      </x:c>
      <x:c r="E14" s="20" t="str">
        <x:v>Leadership sponsor</x:v>
      </x:c>
      <x:c r="F14" s="20" t="str">
        <x:v>Concrete evidence reviewed; decision, conditions and owners recorded</x:v>
      </x:c>
      <x:c r="G14" s="20" t="str">
        <x:v>Critical</x:v>
      </x:c>
      <x:c r="H14" s="27" t="str">
        <x:v>Proposed</x:v>
      </x:c>
      <x:c r="I14" s="27"/>
      <x:c r="J14" s="27"/>
      <x:c r="K14" s="21" t="n">
        <x:f>'Start Here'!B7+B14-1</x:f>
        <x:v>46328</x:v>
      </x:c>
      <x:c r="L14" s="21" t="n">
        <x:f>'Start Here'!B7+C14-1</x:f>
        <x:v>46336</x:v>
      </x:c>
    </x:row>
  </x:sheetData>
  <x:dataValidations count="1">
    <x:dataValidation type="list" sqref="H6:H14">
      <x:formula1>"Proposed,Validated,Approved"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4d764284f744613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" hidden="0" customWidth="1"/>
    <x:col min="2" max="2" width="8" hidden="0" customWidth="1"/>
    <x:col min="3" max="3" width="35" hidden="0" customWidth="1"/>
    <x:col min="4" max="4" width="70" hidden="0" customWidth="1"/>
    <x:col min="5" max="5" width="70" hidden="0" customWidth="1"/>
    <x:col min="6" max="6" width="70" hidden="0" customWidth="1"/>
    <x:col min="7" max="7" width="52" hidden="0" customWidth="1"/>
    <x:col min="8" max="8" width="65" hidden="0" customWidth="1"/>
    <x:col min="9" max="9" width="17" hidden="0" customWidth="1"/>
    <x:col min="10" max="10" width="16" hidden="0" customWidth="1"/>
    <x:col min="11" max="11" width="6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2" t="str">
        <x:v>Four solutioning exercises with review evidence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6" customHeight="1">
      <x:c r="A5" s="26" t="str">
        <x:v>ID</x:v>
      </x:c>
      <x:c r="B5" s="26" t="str">
        <x:v>Week</x:v>
      </x:c>
      <x:c r="C5" s="26" t="str">
        <x:v>Scenario</x:v>
      </x:c>
      <x:c r="D5" s="26" t="str">
        <x:v>Customer brief</x:v>
      </x:c>
      <x:c r="E5" s="26" t="str">
        <x:v>Your task</x:v>
      </x:c>
      <x:c r="F5" s="26" t="str">
        <x:v>Pursuit pack</x:v>
      </x:c>
      <x:c r="G5" s="26" t="str">
        <x:v>Reviewers to engage</x:v>
      </x:c>
      <x:c r="H5" s="26" t="str">
        <x:v>Critical test</x:v>
      </x:c>
      <x:c r="I5" s="26" t="str">
        <x:v>Status</x:v>
      </x:c>
      <x:c r="J5" s="26" t="str">
        <x:v>Review score 0-4</x:v>
      </x:c>
      <x:c r="K5" s="26" t="str">
        <x:v>Evidence / next improvement</x:v>
      </x:c>
    </x:row>
    <x:row r="6" ht="90" customHeight="1">
      <x:c r="A6" s="20" t="str">
        <x:v>P01</x:v>
      </x:c>
      <x:c r="B6" s="20" t="n">
        <x:v>7</x:v>
      </x:c>
      <x:c r="C6" s="20" t="str">
        <x:v>Readiness assessment</x:v>
      </x:c>
      <x:c r="D6" s="20" t="str">
        <x:v>A regulated customer has an AI pilot, unknown network constraints and no agreed source access.</x:v>
      </x:c>
      <x:c r="E6" s="20" t="str">
        <x:v>Qualify sponsors/funding; determine assessment boundary; identify access and tower effort.</x:v>
      </x:c>
      <x:c r="F6" s="20" t="str">
        <x:v>Assessment card, discovery agenda, WBS, ROM assumptions and acceptance</x:v>
      </x:c>
      <x:c r="G6" s="20" t="str">
        <x:v>Architecture + delivery lead</x:v>
      </x:c>
      <x:c r="H6" s="20" t="str">
        <x:v>No fixed implementation promise with unresolved prerequisites</x:v>
      </x:c>
      <x:c r="I6" s="27" t="str">
        <x:v>Not started</x:v>
      </x:c>
      <x:c r="J6" s="27"/>
      <x:c r="K6" s="27"/>
    </x:row>
    <x:row r="7" ht="90" customHeight="1">
      <x:c r="A7" s="20" t="str">
        <x:v>P02</x:v>
      </x:c>
      <x:c r="B7" s="20" t="n">
        <x:v>8</x:v>
      </x:c>
      <x:c r="C7" s="20" t="str">
        <x:v>Foundation extension</x:v>
      </x:c>
      <x:c r="D7" s="20" t="str">
        <x:v>Mature Azure LZ; dev/prod; one RAG workload/source; existing hybrid connectivity.</x:v>
      </x:c>
      <x:c r="E7" s="20" t="str">
        <x:v>Choose supported runtime/region; design platform; size usage; estimate all tower outputs.</x:v>
      </x:c>
      <x:c r="F7" s="20" t="str">
        <x:v>Architecture, BOM, usage model, WBS/resource schedule and dependency commitments</x:v>
      </x:c>
      <x:c r="G7" s="20" t="str">
        <x:v>Infra + Security + AI + DevOps + Engineering</x:v>
      </x:c>
      <x:c r="H7" s="20" t="str">
        <x:v>Platform and workload tests separated; costs traceable</x:v>
      </x:c>
      <x:c r="I7" s="27" t="str">
        <x:v>Not started</x:v>
      </x:c>
      <x:c r="J7" s="27"/>
      <x:c r="K7" s="27"/>
    </x:row>
    <x:row r="8" ht="90" customHeight="1">
      <x:c r="A8" s="20" t="str">
        <x:v>P03</x:v>
      </x:c>
      <x:c r="B8" s="20" t="n">
        <x:v>9</x:v>
      </x:c>
      <x:c r="C8" s="20" t="str">
        <x:v>Integrated employee agent</x:v>
      </x:c>
      <x:c r="D8" s="20" t="str">
        <x:v>5,000 eligible employees; SharePoint knowledge; ServiceNow ticketing; channel undecided.</x:v>
      </x:c>
      <x:c r="E8" s="20" t="str">
        <x:v>Validate adoption, ACLs, data quality, actions, licenses, admins and support; justify product route.</x:v>
      </x:c>
      <x:c r="F8" s="20" t="str">
        <x:v>Selection matrix, tower scopes, consumption/license assumptions, commercial summary and SOW outline</x:v>
      </x:c>
      <x:c r="G8" s="20" t="str">
        <x:v>M365/Power Platform + AI + Infra + Finance</x:v>
      </x:c>
      <x:c r="H8" s="20" t="str">
        <x:v>Eligible users alone do not establish usage or license cost</x:v>
      </x:c>
      <x:c r="I8" s="27" t="str">
        <x:v>Not started</x:v>
      </x:c>
      <x:c r="J8" s="27"/>
      <x:c r="K8" s="27"/>
    </x:row>
    <x:row r="9" ht="90" customHeight="1">
      <x:c r="A9" s="20" t="str">
        <x:v>P04</x:v>
      </x:c>
      <x:c r="B9" s="20" t="n">
        <x:v>10</x:v>
      </x:c>
      <x:c r="C9" s="20" t="str">
        <x:v>Managed platform operations</x:v>
      </x:c>
      <x:c r="D9" s="20" t="str">
        <x:v>Production workload needs support; business wants 24x7 but specialist coverage is uncommitted.</x:v>
      </x:c>
      <x:c r="E9" s="20" t="str">
        <x:v>Define component inventory, service hours, incident routing, recovery, maintenance and costing.</x:v>
      </x:c>
      <x:c r="F9" s="20" t="str">
        <x:v>Service schedule, support agreements, recurring estimate and defence recording</x:v>
      </x:c>
      <x:c r="G9" s="20" t="str">
        <x:v>Service owners + Finance + pursuit lead</x:v>
      </x:c>
      <x:c r="H9" s="20" t="str">
        <x:v>No uncommitted coverage; separate platform and AI/data measures</x:v>
      </x:c>
      <x:c r="I9" s="27" t="str">
        <x:v>Not started</x:v>
      </x:c>
      <x:c r="J9" s="27"/>
      <x:c r="K9" s="27"/>
    </x:row>
    <x:row r="10">
      <x:c r="A10" s="51"/>
      <x:c r="B10" s="51"/>
      <x:c r="C10" s="51"/>
      <x:c r="D10" s="51"/>
      <x:c r="E10" s="51"/>
      <x:c r="F10" s="51"/>
      <x:c r="G10" s="51"/>
      <x:c r="H10" s="51"/>
      <x:c r="I10" s="51"/>
      <x:c r="J10" s="51"/>
      <x:c r="K10" s="51"/>
    </x:row>
    <x:row r="11">
      <x:c r="A11" s="51"/>
      <x:c r="B11" s="51"/>
      <x:c r="C11" s="51"/>
      <x:c r="D11" s="51"/>
      <x:c r="E11" s="51"/>
      <x:c r="F11" s="51"/>
      <x:c r="G11" s="51"/>
      <x:c r="H11" s="51"/>
      <x:c r="I11" s="51"/>
      <x:c r="J11" s="51"/>
      <x:c r="K11" s="51"/>
    </x:row>
    <x:row r="12" ht="43" customHeight="1">
      <x:c r="A12" s="52" t="str">
        <x:v>Score 0: no evidence. 1: draft with major gaps. 2: complete but assumptions unvalidated. 3: reviewed with actions closed. 4: approved for reuse.</x:v>
      </x:c>
      <x:c r="B12" s="52"/>
      <x:c r="C12" s="52"/>
      <x:c r="D12" s="52"/>
      <x:c r="E12" s="52"/>
      <x:c r="F12" s="52"/>
      <x:c r="G12" s="52"/>
      <x:c r="H12" s="51"/>
      <x:c r="I12" s="51"/>
      <x:c r="J12" s="51"/>
      <x:c r="K12" s="51"/>
    </x:row>
    <x:row r="13" ht="43" customHeight="1">
      <x:c r="A13" s="52" t="str">
        <x:v>Review business outcome, product choice, security/data access, platform design, sizing, effort, schedule, price/margin, SOW, dependencies and support.</x:v>
      </x:c>
      <x:c r="B13" s="52"/>
      <x:c r="C13" s="52"/>
      <x:c r="D13" s="52"/>
      <x:c r="E13" s="52"/>
      <x:c r="F13" s="52"/>
      <x:c r="G13" s="52"/>
      <x:c r="H13" s="51"/>
      <x:c r="I13" s="51"/>
      <x:c r="J13" s="51"/>
      <x:c r="K13" s="51"/>
    </x:row>
    <x:row r="14" ht="43" customHeight="1">
      <x:c r="A14" s="52" t="str">
        <x:v>A reviewer must confirm critical criteria; a high score alone is not launch approval. This is a personal development rubric, not Cognizant policy.</x:v>
      </x:c>
      <x:c r="B14" s="52"/>
      <x:c r="C14" s="52"/>
      <x:c r="D14" s="52"/>
      <x:c r="E14" s="52"/>
      <x:c r="F14" s="52"/>
      <x:c r="G14" s="52"/>
      <x:c r="H14" s="51"/>
      <x:c r="I14" s="51"/>
      <x:c r="J14" s="51"/>
      <x:c r="K14" s="51"/>
    </x:row>
    <x:row r="15" ht="43" customHeight="1">
      <x:c r="A15" s="52" t="str">
        <x:v>Common objections: Why buy this with an existing LZ? Why involve several towers? What proves repeatability? What costs recur? Who resolves an agent/data incident?</x:v>
      </x:c>
      <x:c r="B15" s="52"/>
      <x:c r="C15" s="52"/>
      <x:c r="D15" s="52"/>
      <x:c r="E15" s="52"/>
      <x:c r="F15" s="52"/>
      <x:c r="G15" s="52"/>
      <x:c r="H15" s="51"/>
      <x:c r="I15" s="51"/>
      <x:c r="J15" s="51"/>
      <x:c r="K15" s="51"/>
    </x:row>
  </x:sheetData>
  <x:mergeCells>
    <x:mergeCell ref="A12:G12"/>
    <x:mergeCell ref="A13:G13"/>
    <x:mergeCell ref="A14:G14"/>
    <x:mergeCell ref="A15:G15"/>
  </x:mergeCells>
  <x:dataValidations count="2">
    <x:dataValidation type="list" sqref="I6:I9">
      <x:formula1>"Not started,In progress,Blocked,Completed"</x:formula1>
    </x:dataValidation>
    <x:dataValidation type="whole" operator="between" sqref="J6:J9">
      <x:formula1>0</x:formula1>
      <x:formula2>4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ff6cc5494f4d4dd1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5" hidden="0" customWidth="1"/>
    <x:col min="2" max="2" width="24" hidden="0" customWidth="1"/>
    <x:col min="3" max="3" width="49" hidden="0" customWidth="1"/>
    <x:col min="4" max="4" width="57" hidden="0" customWidth="1"/>
    <x:col min="5" max="5" width="68" hidden="0" customWidth="1"/>
    <x:col min="6" max="6" width="60" hidden="0" customWidth="1"/>
    <x:col min="7" max="7" width="56" hidden="0" customWidth="1"/>
    <x:col min="8" max="8" width="52" hidden="0" customWidth="1"/>
    <x:col min="9" max="9" width="62" hidden="0" customWidth="1"/>
    <x:col min="10" max="10" width="27" hidden="0" customWidth="1"/>
    <x:col min="11" max="11" width="19" hidden="0" customWidth="1"/>
    <x:col min="12" max="12" width="6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EMEA and US market plan | hypotheses for account validation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40" customHeight="1">
      <x:c r="A5" s="80" t="str">
        <x:v>Market</x:v>
      </x:c>
      <x:c r="B5" s="80" t="str">
        <x:v>Country group</x:v>
      </x:c>
      <x:c r="C5" s="80" t="str">
        <x:v>Proposed buyer / trigger</x:v>
      </x:c>
      <x:c r="D5" s="80" t="str">
        <x:v>Offer positioning</x:v>
      </x:c>
      <x:c r="E5" s="80" t="str">
        <x:v>Discovery emphasis</x:v>
      </x:c>
      <x:c r="F5" s="80" t="str">
        <x:v>Delivery / coverage</x:v>
      </x:c>
      <x:c r="G5" s="80" t="str">
        <x:v>Commercial inputs</x:v>
      </x:c>
      <x:c r="H5" s="80" t="str">
        <x:v>Expansion route</x:v>
      </x:c>
      <x:c r="I5" s="80" t="str">
        <x:v>Validation before quote</x:v>
      </x:c>
      <x:c r="J5" s="80" t="str">
        <x:v>Account / lead</x:v>
      </x:c>
      <x:c r="K5" s="80" t="str">
        <x:v>Evidence status</x:v>
      </x:c>
      <x:c r="L5" s="80" t="str">
        <x:v>Source / positioning basis</x:v>
      </x:c>
    </x:row>
    <x:row r="6" ht="105" customHeight="1">
      <x:c r="A6" s="20" t="str">
        <x:v>EMEA</x:v>
      </x:c>
      <x:c r="B6" s="20" t="str">
        <x:v>EU/EEA</x:v>
      </x:c>
      <x:c r="C6" s="20" t="str">
        <x:v>Platform leader moving an AI pilot into production</x:v>
      </x:c>
      <x:c r="D6" s="20" t="str">
        <x:v>Existing landing-zone extension with demonstrable controls and workload onboarding</x:v>
      </x:c>
      <x:c r="E6" s="20" t="str">
        <x:v>Customer data location/transfer requirements, access rights, chosen model/service deployment geography, approval route</x:v>
      </x:c>
      <x:c r="F6" s="20" t="str">
        <x:v>Agreed local business hours/time zone; local/offshore mix; language needs</x:v>
      </x:c>
      <x:c r="G6" s="20" t="str">
        <x:v>USD comparison; country-specific costs; confirm EUR/local billing and tax treatment</x:v>
      </x:c>
      <x:c r="H6" s="20" t="str">
        <x:v>More workloads and managed platform operations</x:v>
      </x:c>
      <x:c r="I6" s="20" t="str">
        <x:v>Validate country-specific requirements with customer/Security/Legal; region/SKU/model/network support</x:v>
      </x:c>
      <x:c r="J6" s="22"/>
      <x:c r="K6" s="22" t="str">
        <x:v>Proposed</x:v>
      </x:c>
      <x:c r="L6" s="20" t="str">
        <x:v>Internal hypothesis; no country-wide compliance or capability guarantee.</x:v>
      </x:c>
    </x:row>
    <x:row r="7" ht="105" customHeight="1">
      <x:c r="A7" s="20" t="str">
        <x:v>EMEA</x:v>
      </x:c>
      <x:c r="B7" s="20" t="str">
        <x:v>United Kingdom</x:v>
      </x:c>
      <x:c r="C7" s="20" t="str">
        <x:v>Platform/operations leader with production-readiness blockers</x:v>
      </x:c>
      <x:c r="D7" s="20" t="str">
        <x:v>Bounded foundation extension and clear service ownership</x:v>
      </x:c>
      <x:c r="E7" s="20" t="str">
        <x:v>Approved data location, security controls, source access, tenant/admin responsibility</x:v>
      </x:c>
      <x:c r="F7" s="20" t="str">
        <x:v>UK hours and offshore handoffs; named customer and specialist owners</x:v>
      </x:c>
      <x:c r="G7" s="20" t="str">
        <x:v>USD comparison; approved UK/offshore costs; confirm GBP contracting requirements</x:v>
      </x:c>
      <x:c r="H7" s="20" t="str">
        <x:v>Recurring operations; additional integration work packages</x:v>
      </x:c>
      <x:c r="I7" s="20" t="str">
        <x:v>Validate exact deployment route, country/client requirements and approved service hours</x:v>
      </x:c>
      <x:c r="J7" s="22"/>
      <x:c r="K7" s="22" t="str">
        <x:v>Proposed</x:v>
      </x:c>
      <x:c r="L7" s="20" t="str">
        <x:v>Internal hypothesis; confirm with account evidence.</x:v>
      </x:c>
    </x:row>
    <x:row r="8" ht="105" customHeight="1">
      <x:c r="A8" s="20" t="str">
        <x:v>EMEA</x:v>
      </x:c>
      <x:c r="B8" s="20" t="str">
        <x:v>Middle East</x:v>
      </x:c>
      <x:c r="C8" s="20" t="str">
        <x:v>Platform leader requiring enterprise AI deployment controls</x:v>
      </x:c>
      <x:c r="D8" s="20" t="str">
        <x:v>Supported local or approved deployment architecture with explicit capacity and recovery limits</x:v>
      </x:c>
      <x:c r="E8" s="20" t="str">
        <x:v>Customer country, source rights, data location, model availability, quotas, regional egress and recovery</x:v>
      </x:c>
      <x:c r="F8" s="20" t="str">
        <x:v>Country/time zone and working calendar; approved access and support model</x:v>
      </x:c>
      <x:c r="G8" s="20" t="str">
        <x:v>USD comparison; approved local/offshore costs; local contracting and tax terms</x:v>
      </x:c>
      <x:c r="H8" s="20" t="str">
        <x:v>Additional workloads or regional expansion only after feasibility checks</x:v>
      </x:c>
      <x:c r="I8" s="20" t="str">
        <x:v>Do not assume the desired model/private route/DR option exists in every country or region</x:v>
      </x:c>
      <x:c r="J8" s="22"/>
      <x:c r="K8" s="22" t="str">
        <x:v>Proposed</x:v>
      </x:c>
      <x:c r="L8" s="20" t="str">
        <x:v>Internal hypothesis; selected service/model availability requires validation.</x:v>
      </x:c>
    </x:row>
    <x:row r="9" ht="105" customHeight="1">
      <x:c r="A9" s="20" t="str">
        <x:v>EMEA</x:v>
      </x:c>
      <x:c r="B9" s="20" t="str">
        <x:v>Africa</x:v>
      </x:c>
      <x:c r="C9" s="20" t="str">
        <x:v>Platform sponsor with funded workload and operational constraints</x:v>
      </x:c>
      <x:c r="D9" s="20" t="str">
        <x:v>Readiness assessment first where connectivity, capacity or deployment route is uncertain</x:v>
      </x:c>
      <x:c r="E9" s="20" t="str">
        <x:v>Country, connectivity/latency, supported services, data source and operating maturity</x:v>
      </x:c>
      <x:c r="F9" s="20" t="str">
        <x:v>Country-specific coverage, skill availability, customer duties and offshore handoffs</x:v>
      </x:c>
      <x:c r="G9" s="20" t="str">
        <x:v>USD comparison; approved country/offshore costs; local contracting requirements</x:v>
      </x:c>
      <x:c r="H9" s="20" t="str">
        <x:v>Implementation after prerequisites; scoped operations</x:v>
      </x:c>
      <x:c r="I9" s="20" t="str">
        <x:v>Validate region/model/network route, capacity, connectivity and customer approval requirements</x:v>
      </x:c>
      <x:c r="J9" s="22"/>
      <x:c r="K9" s="22" t="str">
        <x:v>Proposed</x:v>
      </x:c>
      <x:c r="L9" s="20" t="str">
        <x:v>Internal hypothesis; do not treat Africa as one market or deployment region.</x:v>
      </x:c>
    </x:row>
    <x:row r="10" ht="105" customHeight="1">
      <x:c r="A10" s="20" t="str">
        <x:v>US</x:v>
      </x:c>
      <x:c r="B10" s="20" t="str">
        <x:v>United States commercial</x:v>
      </x:c>
      <x:c r="C10" s="20" t="str">
        <x:v>Platform leader scaling an AI pilot with control/support gaps</x:v>
      </x:c>
      <x:c r="D10" s="20" t="str">
        <x:v>Production platform extension, repeatable deployment and recurring operations</x:v>
      </x:c>
      <x:c r="E10" s="20" t="str">
        <x:v>Industry/customer control requirements, data boundaries, permissions, deployment geography and incident ownership</x:v>
      </x:c>
      <x:c r="F10" s="20" t="str">
        <x:v>Agreed Eastern/Central/Mountain/Pacific coverage; onshore/offshore mix; specialist escalation</x:v>
      </x:c>
      <x:c r="G10" s="20" t="str">
        <x:v>USD commercial model; approved US/offshore costs; contract/tax/pass-through terms</x:v>
      </x:c>
      <x:c r="H10" s="20" t="str">
        <x:v>Additional workloads, environments and support coverage</x:v>
      </x:c>
      <x:c r="I10" s="20" t="str">
        <x:v>Confirm commercial vs government scope, deployment support, quota and contractual security obligations</x:v>
      </x:c>
      <x:c r="J10" s="22"/>
      <x:c r="K10" s="22" t="str">
        <x:v>Proposed</x:v>
      </x:c>
      <x:c r="L10" s="20" t="str">
        <x:v>Internal hypothesis; government/sovereign deployments require a separate qualification and estimate.</x:v>
      </x:c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48" customHeight="1">
      <x:c r="A13" s="3" t="str">
        <x:v>Qualification rule: EMEA is not a single pricing, regulatory or operating region. Specify the country, customer obligations and deployment architecture.</x:v>
      </x:c>
      <x:c r="B13" s="3"/>
      <x:c r="C13" s="3"/>
      <x:c r="D13" s="3"/>
      <x:c r="E13" s="3"/>
      <x:c r="F13" s="3"/>
      <x:c r="G13" s="1"/>
      <x:c r="H13" s="1"/>
      <x:c r="I13" s="1"/>
      <x:c r="J13" s="1"/>
      <x:c r="K13" s="1"/>
      <x:c r="L13" s="1"/>
    </x:row>
    <x:row r="14" ht="48" customHeight="1">
      <x:c r="A14" s="3" t="str">
        <x:v>Customer-facing USD prices are built from scope, approved delivery costs, risk and agreed margin. INR source-example conversion is not a regional price benchmark.</x:v>
      </x:c>
      <x:c r="B14" s="3"/>
      <x:c r="C14" s="3"/>
      <x:c r="D14" s="3"/>
      <x:c r="E14" s="3"/>
      <x:c r="F14" s="3"/>
      <x:c r="G14" s="1"/>
      <x:c r="H14" s="1"/>
      <x:c r="I14" s="1"/>
      <x:c r="J14" s="1"/>
      <x:c r="K14" s="1"/>
      <x:c r="L14" s="1"/>
    </x:row>
    <x:row r="15" ht="48" customHeight="1">
      <x:c r="A15" s="3" t="str">
        <x:v>Microsoft involvement: record account owner, technical/alliance contact, co-sell route, consumption opportunity, funding eligibility and approval evidence. No funding assumed.</x:v>
      </x:c>
      <x:c r="B15" s="3"/>
      <x:c r="C15" s="3"/>
      <x:c r="D15" s="3"/>
      <x:c r="E15" s="3"/>
      <x:c r="F15" s="3"/>
      <x:c r="G15" s="1"/>
      <x:c r="H15" s="1"/>
      <x:c r="I15" s="1"/>
      <x:c r="J15" s="1"/>
      <x:c r="K15" s="1"/>
      <x:c r="L15" s="1"/>
    </x:row>
    <x:row r="16" ht="48" customHeight="1">
      <x:c r="A16" s="3" t="str">
        <x:v>Pricing source: https://azure.microsoft.com/en-us/pricing/calculator/ | accessed 10 Oct 2026; enter dated selected-region USD estimates.</x:v>
      </x:c>
      <x:c r="B16" s="3"/>
      <x:c r="C16" s="3"/>
      <x:c r="D16" s="3"/>
      <x:c r="E16" s="3"/>
      <x:c r="F16" s="3"/>
      <x:c r="G16" s="1"/>
      <x:c r="H16" s="1"/>
      <x:c r="I16" s="1"/>
      <x:c r="J16" s="1"/>
      <x:c r="K16" s="1"/>
      <x:c r="L16" s="1"/>
    </x:row>
    <x:row r="17" ht="48" customHeight="1">
      <x:c r="A17" s="3" t="str">
        <x:v>Availability source: https://azure.microsoft.com/en-us/explore/global-infrastructure/products-by-region/ | accessed 10 Oct 2026; also check exact model/service documentation.</x:v>
      </x:c>
      <x:c r="B17" s="3"/>
      <x:c r="C17" s="3"/>
      <x:c r="D17" s="3"/>
      <x:c r="E17" s="3"/>
      <x:c r="F17" s="3"/>
      <x:c r="G17" s="1"/>
      <x:c r="H17" s="1"/>
      <x:c r="I17" s="1"/>
      <x:c r="J17" s="1"/>
      <x:c r="K17" s="1"/>
      <x:c r="L17" s="1"/>
    </x:row>
    <x:row r="18" ht="48" customHeight="1">
      <x:c r="A18" s="3" t="str">
        <x:v>Regional launch evidence: nominated account/sponsor, funded workload, validated platform gaps, supported deployment, approved country rates and tower/service commitments.</x:v>
      </x:c>
      <x:c r="B18" s="3"/>
      <x:c r="C18" s="3"/>
      <x:c r="D18" s="3"/>
      <x:c r="E18" s="3"/>
      <x:c r="F18" s="3"/>
      <x:c r="G18" s="1"/>
      <x:c r="H18" s="1"/>
      <x:c r="I18" s="1"/>
      <x:c r="J18" s="1"/>
      <x:c r="K18" s="1"/>
      <x:c r="L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</x:sheetData>
  <x:mergeCells>
    <x:mergeCell ref="A13:F13"/>
    <x:mergeCell ref="A14:F14"/>
    <x:mergeCell ref="A15:F15"/>
    <x:mergeCell ref="A16:F16"/>
    <x:mergeCell ref="A17:F17"/>
    <x:mergeCell ref="A18:F18"/>
  </x:mergeCells>
  <x:dataValidations count="1">
    <x:dataValidation type="list" sqref="K6:K10">
      <x:formula1>"Proposed,Validated,Approved"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c132b955d5e4088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" hidden="0" customWidth="1"/>
    <x:col min="2" max="2" width="21" hidden="0" customWidth="1"/>
    <x:col min="3" max="3" width="13" hidden="0" customWidth="1"/>
    <x:col min="4" max="4" width="57" hidden="0" customWidth="1"/>
    <x:col min="5" max="5" width="35" hidden="0" customWidth="1"/>
    <x:col min="6" max="6" width="76" hidden="0" customWidth="1"/>
    <x:col min="7" max="7" width="37" hidden="0" customWidth="1"/>
    <x:col min="8" max="8" width="35" hidden="0" customWidth="1"/>
    <x:col min="9" max="9" width="66" hidden="0" customWidth="1"/>
    <x:col min="10" max="10" width="62" hidden="0" customWidth="1"/>
    <x:col min="11" max="11" width="72" hidden="0" customWidth="1"/>
    <x:col min="12" max="12" width="65" hidden="0" customWidth="1"/>
    <x:col min="13" max="13" width="17" hidden="0" customWidth="1"/>
    <x:col min="14" max="14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2" t="str">
        <x:v>Video learning | Udemy, YouTube and LinkedIn Learning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38" customHeight="1">
      <x:c r="A5" s="82" t="str">
        <x:v>ID</x:v>
      </x:c>
      <x:c r="B5" s="82" t="str">
        <x:v>Platform</x:v>
      </x:c>
      <x:c r="C5" s="82" t="str">
        <x:v>Weeks</x:v>
      </x:c>
      <x:c r="D5" s="82" t="str">
        <x:v>Resource title</x:v>
      </x:c>
      <x:c r="E5" s="82" t="str">
        <x:v>Instructor / publisher</x:v>
      </x:c>
      <x:c r="F5" s="82" t="str">
        <x:v>Direct URL</x:v>
      </x:c>
      <x:c r="G5" s="82" t="str">
        <x:v>Access</x:v>
      </x:c>
      <x:c r="H5" s="82" t="str">
        <x:v>Priority</x:v>
      </x:c>
      <x:c r="I5" s="82" t="str">
        <x:v>What to watch</x:v>
      </x:c>
      <x:c r="J5" s="82" t="str">
        <x:v>GTM output</x:v>
      </x:c>
      <x:c r="K5" s="82" t="str">
        <x:v>Freshness / limitation</x:v>
      </x:c>
      <x:c r="L5" s="82" t="str">
        <x:v>Link evidence</x:v>
      </x:c>
      <x:c r="M5" s="82" t="str">
        <x:v>Status</x:v>
      </x:c>
      <x:c r="N5" s="82" t="str">
        <x:v>Actual watch hours</x:v>
      </x:c>
    </x:row>
    <x:row r="6" ht="90" customHeight="1">
      <x:c r="A6" s="20" t="str">
        <x:v>V01</x:v>
      </x:c>
      <x:c r="B6" s="20" t="str">
        <x:v>Udemy</x:v>
      </x:c>
      <x:c r="C6" s="20" t="str">
        <x:v>3,5,6</x:v>
      </x:c>
      <x:c r="D6" s="20" t="str">
        <x:v>Microsoft Copilot Studio: AI Agents, RAG, MCP &amp; AI Security</x:v>
      </x:c>
      <x:c r="E6" s="20" t="str">
        <x:v>Kuljot Singh Bakshi</x:v>
      </x:c>
      <x:c r="F6" s="59" t="str">
        <x:v>https://www.udemy.com/course/microsoft-copilot-studio-ai-agents-rag-mcp-ai-security/</x:v>
      </x:c>
      <x:c r="G6" s="20" t="str">
        <x:v>Paid; price/access varies</x:v>
      </x:c>
      <x:c r="H6" s="20" t="str">
        <x:v>Primary paid option</x:v>
      </x:c>
      <x:c r="I6" s="20" t="str">
        <x:v>Choose knowledge, MCP, identity/security and Foundry integration sections</x:v>
      </x:c>
      <x:c r="J6" s="20" t="str">
        <x:v>Define specialist work packages and platform integration requirements</x:v>
      </x:c>
      <x:c r="K6" s="20" t="str">
        <x:v>Mixed hub-based/newer material; match current project/API architecture before following steps</x:v>
      </x:c>
      <x:c r="L6" s="20" t="str">
        <x:v>Provider course page located, 10 Oct 2026</x:v>
      </x:c>
      <x:c r="M6" s="83" t="str">
        <x:v>Not started</x:v>
      </x:c>
      <x:c r="N6" s="83"/>
    </x:row>
    <x:row r="7" ht="90" customHeight="1">
      <x:c r="A7" s="20" t="str">
        <x:v>V02</x:v>
      </x:c>
      <x:c r="B7" s="20" t="str">
        <x:v>Udemy</x:v>
      </x:c>
      <x:c r="C7" s="20" t="str">
        <x:v>3,4</x:v>
      </x:c>
      <x:c r="D7" s="20" t="str">
        <x:v>Copilot Studio: Build Real-World Agents-Beginner to Pro</x:v>
      </x:c>
      <x:c r="E7" s="20" t="str">
        <x:v>Kshitij Joy (Cloud Alchemy)</x:v>
      </x:c>
      <x:c r="F7" s="59" t="str">
        <x:v>https://www.udemy.com/course/copilot-studio-build-real-world-agents-beginner-to-pro/</x:v>
      </x:c>
      <x:c r="G7" s="20" t="str">
        <x:v>Paid; price/access varies</x:v>
      </x:c>
      <x:c r="H7" s="20" t="str">
        <x:v>Alternative to V01</x:v>
      </x:c>
      <x:c r="I7" s="20" t="str">
        <x:v>Choose API, RAG, workflow and connector projects</x:v>
      </x:c>
      <x:c r="J7" s="20" t="str">
        <x:v>Document API/connector scope, access and workflow boundaries</x:v>
      </x:c>
      <x:c r="K7" s="20" t="str">
        <x:v>Do not buy both Studio courses by default; validate current UI and prerequisites</x:v>
      </x:c>
      <x:c r="L7" s="20" t="str">
        <x:v>Provider course page located, 10 Oct 2026</x:v>
      </x:c>
      <x:c r="M7" s="83" t="str">
        <x:v>Not started</x:v>
      </x:c>
      <x:c r="N7" s="83"/>
    </x:row>
    <x:row r="8" ht="90" customHeight="1">
      <x:c r="A8" s="20" t="str">
        <x:v>V03</x:v>
      </x:c>
      <x:c r="B8" s="20" t="str">
        <x:v>Udemy</x:v>
      </x:c>
      <x:c r="C8" s="20" t="str">
        <x:v>1,3</x:v>
      </x:c>
      <x:c r="D8" s="20" t="str">
        <x:v>Microsoft Copilot Studio +MS Foundry + Claude Code (Demo)</x:v>
      </x:c>
      <x:c r="E8" s="20" t="str">
        <x:v>Learning Technologies</x:v>
      </x:c>
      <x:c r="F8" s="59" t="str">
        <x:v>https://www.udemy.com/course/ai-agents-copilot-studio-azure-foundry-microsoft-foundry/</x:v>
      </x:c>
      <x:c r="G8" s="20" t="str">
        <x:v>Free at listing review; recheck</x:v>
      </x:c>
      <x:c r="H8" s="20" t="str">
        <x:v>Optional starter</x:v>
      </x:c>
      <x:c r="I8" s="20" t="str">
        <x:v>Watch Microsoft agent-tool overview; skip unrelated Claude sections</x:v>
      </x:c>
      <x:c r="J8" s="20" t="str">
        <x:v>Explain platform choices and learning gaps</x:v>
      </x:c>
      <x:c r="K8" s="20" t="str">
        <x:v>Demo/starter course; not sufficient for enterprise architecture or production delivery</x:v>
      </x:c>
      <x:c r="L8" s="20" t="str">
        <x:v>Provider course listing located, 10 Oct 2026</x:v>
      </x:c>
      <x:c r="M8" s="83" t="str">
        <x:v>Not started</x:v>
      </x:c>
      <x:c r="N8" s="83"/>
    </x:row>
    <x:row r="9" ht="90" customHeight="1">
      <x:c r="A9" s="20" t="str">
        <x:v>V04</x:v>
      </x:c>
      <x:c r="B9" s="20" t="str">
        <x:v>YouTube</x:v>
      </x:c>
      <x:c r="C9" s="20" t="str">
        <x:v>1,5</x:v>
      </x:c>
      <x:c r="D9" s="20" t="str">
        <x:v>Getting Started with Microsoft Agent Framework: Build Practical AI Agents</x:v>
      </x:c>
      <x:c r="E9" s="20" t="str">
        <x:v>Microsoft Reactor</x:v>
      </x:c>
      <x:c r="F9" s="59" t="str">
        <x:v>https://www.youtube.com/watch?v=JngWQLylFX8</x:v>
      </x:c>
      <x:c r="G9" s="20" t="str">
        <x:v>Free</x:v>
      </x:c>
      <x:c r="H9" s="20" t="str">
        <x:v>Primary framework overview</x:v>
      </x:c>
      <x:c r="I9" s="20" t="str">
        <x:v>Select fundamentals, tools and practical-agent sections</x:v>
      </x:c>
      <x:c r="J9" s="20" t="str">
        <x:v>Identify runtime/tool prerequisites and ownership</x:v>
      </x:c>
      <x:c r="K9" s="20" t="str">
        <x:v>Use current repository instructions for actual SDK/package versions</x:v>
      </x:c>
      <x:c r="L9" s="20" t="str">
        <x:v>Indexed title and Microsoft Reactor channel located, 10 Oct 2026; playback not tested</x:v>
      </x:c>
      <x:c r="M9" s="83" t="str">
        <x:v>Not started</x:v>
      </x:c>
      <x:c r="N9" s="83"/>
    </x:row>
    <x:row r="10" ht="90" customHeight="1">
      <x:c r="A10" s="20" t="str">
        <x:v>V05</x:v>
      </x:c>
      <x:c r="B10" s="20" t="str">
        <x:v>YouTube</x:v>
      </x:c>
      <x:c r="C10" s="20" t="str">
        <x:v>2</x:v>
      </x:c>
      <x:c r="D10" s="20" t="str">
        <x:v>Building RAG Solutions with Azure AI Foundry</x:v>
      </x:c>
      <x:c r="E10" s="20" t="str">
        <x:v>Microsoft Reactor</x:v>
      </x:c>
      <x:c r="F10" s="59" t="str">
        <x:v>https://www.youtube.com/watch?v=IXGrwWcLJuE</x:v>
      </x:c>
      <x:c r="G10" s="20" t="str">
        <x:v>Free</x:v>
      </x:c>
      <x:c r="H10" s="20" t="str">
        <x:v>RAG concept supplement</x:v>
      </x:c>
      <x:c r="I10" s="20" t="str">
        <x:v>Watch retrieval, grounding and data-integration concepts</x:v>
      </x:c>
      <x:c r="J10" s="20" t="str">
        <x:v>Define source/indexing boundaries and evaluation questions</x:v>
      </x:c>
      <x:c r="K10" s="20" t="str">
        <x:v>2025 recording: portal/deployment steps may be dated; use current Learn and repo labs</x:v>
      </x:c>
      <x:c r="L10" s="20" t="str">
        <x:v>Indexed title and channel located, 10 Oct 2026; direct fetch unavailable; playback not tested</x:v>
      </x:c>
      <x:c r="M10" s="83" t="str">
        <x:v>Not started</x:v>
      </x:c>
      <x:c r="N10" s="83"/>
    </x:row>
    <x:row r="11" ht="90" customHeight="1">
      <x:c r="A11" s="20" t="str">
        <x:v>V06</x:v>
      </x:c>
      <x:c r="B11" s="20" t="str">
        <x:v>YouTube</x:v>
      </x:c>
      <x:c r="C11" s="20" t="str">
        <x:v>3,4</x:v>
      </x:c>
      <x:c r="D11" s="20" t="str">
        <x:v>AI-Driven Agent Development with Microsoft Copilot Studio</x:v>
      </x:c>
      <x:c r="E11" s="20" t="str">
        <x:v>Microsoft Reactor</x:v>
      </x:c>
      <x:c r="F11" s="59" t="str">
        <x:v>https://www.youtube.com/watch?v=YS0igNs4mgQ</x:v>
      </x:c>
      <x:c r="G11" s="20" t="str">
        <x:v>Free</x:v>
      </x:c>
      <x:c r="H11" s="20" t="str">
        <x:v>Studio concept supplement</x:v>
      </x:c>
      <x:c r="I11" s="20" t="str">
        <x:v>Watch agent design and Foundry integration discussion</x:v>
      </x:c>
      <x:c r="J11" s="20" t="str">
        <x:v>Explain Studio specialization and Infra dependency boundaries</x:v>
      </x:c>
      <x:c r="K11" s="20" t="str">
        <x:v>Older recording; verify current UI, licensing and integration support</x:v>
      </x:c>
      <x:c r="L11" s="20" t="str">
        <x:v>Indexed title and channel located, 10 Oct 2026; direct fetch unavailable; playback not tested</x:v>
      </x:c>
      <x:c r="M11" s="83" t="str">
        <x:v>Not started</x:v>
      </x:c>
      <x:c r="N11" s="83"/>
    </x:row>
    <x:row r="12" ht="90" customHeight="1">
      <x:c r="A12" s="20" t="str">
        <x:v>V07</x:v>
      </x:c>
      <x:c r="B12" s="20" t="str">
        <x:v>YouTube</x:v>
      </x:c>
      <x:c r="C12" s="20" t="str">
        <x:v>5</x:v>
      </x:c>
      <x:c r="D12" s="20" t="str">
        <x:v>Introduction to the Agent Framework and individual agents</x:v>
      </x:c>
      <x:c r="E12" s="20" t="str">
        <x:v>Microsoft Reactor</x:v>
      </x:c>
      <x:c r="F12" s="59" t="str">
        <x:v>https://www.youtube.com/watch?v=omwpI6aq1W0</x:v>
      </x:c>
      <x:c r="G12" s="20" t="str">
        <x:v>Free</x:v>
      </x:c>
      <x:c r="H12" s="20" t="str">
        <x:v>Alternative/deeper framework session</x:v>
      </x:c>
      <x:c r="I12" s="20" t="str">
        <x:v>12:29 framework differences; 32:04 tools; 45:02 RAG; 56:56 citations</x:v>
      </x:c>
      <x:c r="J12" s="20" t="str">
        <x:v>Explain tools, grounding and context for the operations assistant</x:v>
      </x:c>
      <x:c r="K12" s="20" t="str">
        <x:v>2025 session; code concepts useful, dependency versions require revalidation</x:v>
      </x:c>
      <x:c r="L12" s="20" t="str">
        <x:v>Indexed title, channel and chapters located, 10 Oct 2026; playback not tested</x:v>
      </x:c>
      <x:c r="M12" s="83" t="str">
        <x:v>Not started</x:v>
      </x:c>
      <x:c r="N12" s="83"/>
    </x:row>
    <x:row r="13" ht="90" customHeight="1">
      <x:c r="A13" s="20" t="str">
        <x:v>V08</x:v>
      </x:c>
      <x:c r="B13" s="20" t="str">
        <x:v>YouTube</x:v>
      </x:c>
      <x:c r="C13" s="20" t="str">
        <x:v>6,8,10</x:v>
      </x:c>
      <x:c r="D13" s="20" t="str">
        <x:v>Design Azure AI Landing Zones for production at scale</x:v>
      </x:c>
      <x:c r="E13" s="20" t="str">
        <x:v>Microsoft Azure AI Tech Accelerator session</x:v>
      </x:c>
      <x:c r="F13" s="59" t="str">
        <x:v>https://www.youtube.com/watch?v=G1_PX72bcyk</x:v>
      </x:c>
      <x:c r="G13" s="20" t="str">
        <x:v>Free</x:v>
      </x:c>
      <x:c r="H13" s="20" t="str">
        <x:v>Priority Infra video</x:v>
      </x:c>
      <x:c r="I13" s="20" t="str">
        <x:v>Select production architecture, governance and deployment-design sections</x:v>
      </x:c>
      <x:c r="J13" s="20" t="str">
        <x:v>Improve O02 architecture, reusable assets and delivery acceptance</x:v>
      </x:c>
      <x:c r="K13" s="20" t="str">
        <x:v>Validate exact architecture/SKU/model support; recording alone is not deployment evidence</x:v>
      </x:c>
      <x:c r="L13" s="20" t="str">
        <x:v>Indexed title/session description located, 10 Oct 2026; direct fetch throttled; playback not tested</x:v>
      </x:c>
      <x:c r="M13" s="83" t="str">
        <x:v>Not started</x:v>
      </x:c>
      <x:c r="N13" s="83"/>
    </x:row>
    <x:row r="14" ht="90" customHeight="1">
      <x:c r="A14" s="20" t="str">
        <x:v>V09</x:v>
      </x:c>
      <x:c r="B14" s="20" t="str">
        <x:v>YouTube</x:v>
      </x:c>
      <x:c r="C14" s="20" t="str">
        <x:v>6,8</x:v>
      </x:c>
      <x:c r="D14" s="20" t="str">
        <x:v>Learn Live: Set up Landing Zones for AI</x:v>
      </x:c>
      <x:c r="E14" s="20" t="str">
        <x:v>Microsoft Reactor</x:v>
      </x:c>
      <x:c r="F14" s="59" t="str">
        <x:v>https://www.youtube.com/watch?v=k2kZlUIQ998</x:v>
      </x:c>
      <x:c r="G14" s="20" t="str">
        <x:v>Free</x:v>
      </x:c>
      <x:c r="H14" s="20" t="str">
        <x:v>Landing-zone supplement</x:v>
      </x:c>
      <x:c r="I14" s="20" t="str">
        <x:v>Watch environment design and control/reliability discussion</x:v>
      </x:c>
      <x:c r="J14" s="20" t="str">
        <x:v>Identify foundation-extension prerequisites and control tests</x:v>
      </x:c>
      <x:c r="K14" s="20" t="str">
        <x:v>Older session; compare to current Azure AI Landing Zones implementation</x:v>
      </x:c>
      <x:c r="L14" s="20" t="str">
        <x:v>Indexed title and official event page located, 10 Oct 2026; playback not tested</x:v>
      </x:c>
      <x:c r="M14" s="83" t="str">
        <x:v>Not started</x:v>
      </x:c>
      <x:c r="N14" s="83"/>
    </x:row>
    <x:row r="15" ht="90" customHeight="1">
      <x:c r="A15" s="20" t="str">
        <x:v>V10</x:v>
      </x:c>
      <x:c r="B15" s="20" t="str">
        <x:v>LinkedIn Learning</x:v>
      </x:c>
      <x:c r="C15" s="20" t="str">
        <x:v>1,2,8</x:v>
      </x:c>
      <x:c r="D15" s="20" t="str">
        <x:v>Build with AI: Building a Copilot with Azure AI Foundry</x:v>
      </x:c>
      <x:c r="E15" s="20" t="str">
        <x:v>Sam Nasr</x:v>
      </x:c>
      <x:c r="F15" s="59" t="str">
        <x:v>https://www.linkedin.com/learning/build-with-ai-building-a-copilot-with-azure-ai-foundry</x:v>
      </x:c>
      <x:c r="G15" s="20" t="str">
        <x:v>Subscription/company entitlement</x:v>
      </x:c>
      <x:c r="H15" s="20" t="str">
        <x:v>Optional concepts</x:v>
      </x:c>
      <x:c r="I15" s="20" t="str">
        <x:v>Selected setup, data, evaluation and managing-cost concepts; course 52 minutes</x:v>
      </x:c>
      <x:c r="J15" s="20" t="str">
        <x:v>Write model/data/cost questions; do not use recorded prices</x:v>
      </x:c>
      <x:c r="K15" s="20" t="str">
        <x:v>Released 2024; older UI/Prompt Flow approach. Current Learn labs remain authoritative</x:v>
      </x:c>
      <x:c r="L15" s="20" t="str">
        <x:v>Provider course page located, 10 Oct 2026</x:v>
      </x:c>
      <x:c r="M15" s="83" t="str">
        <x:v>Not started</x:v>
      </x:c>
      <x:c r="N15" s="83"/>
    </x:row>
    <x:row r="16" ht="90" customHeight="1">
      <x:c r="A16" s="20" t="str">
        <x:v>V11</x:v>
      </x:c>
      <x:c r="B16" s="20" t="str">
        <x:v>LinkedIn Learning</x:v>
      </x:c>
      <x:c r="C16" s="20" t="str">
        <x:v>3</x:v>
      </x:c>
      <x:c r="D16" s="20" t="str">
        <x:v>Building in Microsoft Copilot Studio</x:v>
      </x:c>
      <x:c r="E16" s="20" t="str">
        <x:v>Bryan Li</x:v>
      </x:c>
      <x:c r="F16" s="59" t="str">
        <x:v>https://www.linkedin.com/learning/building-in-microsoft-copilot-studio-25354367</x:v>
      </x:c>
      <x:c r="G16" s="20" t="str">
        <x:v>Subscription/company entitlement</x:v>
      </x:c>
      <x:c r="H16" s="20" t="str">
        <x:v>Short Studio overview</x:v>
      </x:c>
      <x:c r="I16" s="20" t="str">
        <x:v>Knowledge, topics, authentication, publishing and monitoring; course 61 minutes</x:v>
      </x:c>
      <x:c r="J16" s="20" t="str">
        <x:v>Identify specialist deliverables and deployment/admin dependencies</x:v>
      </x:c>
      <x:c r="K16" s="20" t="str">
        <x:v>Released March 2025; validate current authoring experience</x:v>
      </x:c>
      <x:c r="L16" s="20" t="str">
        <x:v>Provider course page located, 10 Oct 2026</x:v>
      </x:c>
      <x:c r="M16" s="83" t="str">
        <x:v>Not started</x:v>
      </x:c>
      <x:c r="N16" s="83"/>
    </x:row>
    <x:row r="17" ht="90" customHeight="1">
      <x:c r="A17" s="20" t="str">
        <x:v>V12</x:v>
      </x:c>
      <x:c r="B17" s="20" t="str">
        <x:v>LinkedIn Learning</x:v>
      </x:c>
      <x:c r="C17" s="20" t="str">
        <x:v>4</x:v>
      </x:c>
      <x:c r="D17" s="20" t="str">
        <x:v>Extend Microsoft 365 Copilot with AI Agents</x:v>
      </x:c>
      <x:c r="E17" s="20" t="str">
        <x:v>Bryan Li</x:v>
      </x:c>
      <x:c r="F17" s="59" t="str">
        <x:v>https://www.linkedin.com/learning/extend-microsoft-365-copilot-with-ai-agents</x:v>
      </x:c>
      <x:c r="G17" s="20" t="str">
        <x:v>Subscription/company entitlement</x:v>
      </x:c>
      <x:c r="H17" s="20" t="str">
        <x:v>Primary M365 overview</x:v>
      </x:c>
      <x:c r="I17" s="20" t="str">
        <x:v>Agent knowledge/tools, approval and deployment sections; course 50 minutes</x:v>
      </x:c>
      <x:c r="J17" s="20" t="str">
        <x:v>Build declarative/custom-agent selection and M365 responsibility questions</x:v>
      </x:c>
      <x:c r="K17" s="20" t="str">
        <x:v>Released May 2025; check current tenant/licensing and publication process</x:v>
      </x:c>
      <x:c r="L17" s="20" t="str">
        <x:v>Provider course page located, 10 Oct 2026</x:v>
      </x:c>
      <x:c r="M17" s="83" t="str">
        <x:v>Not started</x:v>
      </x:c>
      <x:c r="N17" s="83"/>
    </x:row>
    <x:row r="18" ht="90" customHeight="1">
      <x:c r="A18" s="20" t="str">
        <x:v>V13</x:v>
      </x:c>
      <x:c r="B18" s="20" t="str">
        <x:v>LinkedIn Learning</x:v>
      </x:c>
      <x:c r="C18" s="20" t="str">
        <x:v>7</x:v>
      </x:c>
      <x:c r="D18" s="20" t="str">
        <x:v>Sales Discovery</x:v>
      </x:c>
      <x:c r="E18" s="20" t="str">
        <x:v>Dean Karrel</x:v>
      </x:c>
      <x:c r="F18" s="59" t="str">
        <x:v>https://www.linkedin.com/learning/sales-discovery</x:v>
      </x:c>
      <x:c r="G18" s="20" t="str">
        <x:v>Subscription/company entitlement</x:v>
      </x:c>
      <x:c r="H18" s="20" t="str">
        <x:v>Priority presales video</x:v>
      </x:c>
      <x:c r="I18" s="20" t="str">
        <x:v>Preparation, buyer/approval process, solution mapping, next steps; course 39 minutes</x:v>
      </x:c>
      <x:c r="J18" s="20" t="str">
        <x:v>Improve paid-assessment qualification and customer discovery agenda</x:v>
      </x:c>
      <x:c r="K18" s="20" t="str">
        <x:v>Older recording; durable sales concepts, not product or Cognizant policy guidance</x:v>
      </x:c>
      <x:c r="L18" s="20" t="str">
        <x:v>Provider course page located, 10 Oct 2026</x:v>
      </x:c>
      <x:c r="M18" s="83" t="str">
        <x:v>Not started</x:v>
      </x:c>
      <x:c r="N18" s="83"/>
    </x:row>
    <x:row r="19" ht="90" customHeight="1">
      <x:c r="A19" s="20" t="str">
        <x:v>V14</x:v>
      </x:c>
      <x:c r="B19" s="20" t="str">
        <x:v>LinkedIn Learning</x:v>
      </x:c>
      <x:c r="C19" s="20" t="str">
        <x:v>9,10</x:v>
      </x:c>
      <x:c r="D19" s="20" t="str">
        <x:v>Creating Your Sales Process</x:v>
      </x:c>
      <x:c r="E19" s="20" t="str">
        <x:v>Dean Karrel</x:v>
      </x:c>
      <x:c r="F19" s="59" t="str">
        <x:v>https://www.linkedin.com/learning/creating-your-sales-process-2</x:v>
      </x:c>
      <x:c r="G19" s="20" t="str">
        <x:v>Subscription/company entitlement</x:v>
      </x:c>
      <x:c r="H19" s="20" t="str">
        <x:v>Presales process supplement</x:v>
      </x:c>
      <x:c r="I19" s="20" t="str">
        <x:v>Select presenting, objections, delivery promises and follow-up sections</x:v>
      </x:c>
      <x:c r="J19" s="20" t="str">
        <x:v>Prepare solution-defence objections and accountable handover</x:v>
      </x:c>
      <x:c r="K19" s="20" t="str">
        <x:v>Generic sales framework; use Cognizant approval and deal process where different</x:v>
      </x:c>
      <x:c r="L19" s="20" t="str">
        <x:v>Provider course page located, 10 Oct 2026</x:v>
      </x:c>
      <x:c r="M19" s="83" t="str">
        <x:v>Not started</x:v>
      </x:c>
      <x:c r="N19" s="83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 ht="44" customHeight="1">
      <x:c r="A22" s="3" t="str">
        <x:v>Use selected segments: 30 minutes/week is budgeted in Weekly Plan. Resources are alternatives or supplements, not 14 mandatory full courses.</x:v>
      </x:c>
      <x:c r="B22" s="3"/>
      <x:c r="C22" s="3"/>
      <x:c r="D22" s="3"/>
      <x:c r="E22" s="3"/>
      <x:c r="F22" s="3"/>
      <x:c r="G22" s="3"/>
      <x:c r="H22" s="3"/>
      <x:c r="I22" s="1"/>
      <x:c r="J22" s="1"/>
      <x:c r="K22" s="1"/>
      <x:c r="L22" s="1"/>
      <x:c r="M22" s="1"/>
      <x:c r="N22" s="1"/>
    </x:row>
    <x:row r="23" ht="44" customHeight="1">
      <x:c r="A23" s="3" t="str">
        <x:v>Suggested purchase: preview V01 first if you need deeper Studio/RAG/MCP training. V02 is an alternative. Check any company entitlement before paying; no enrollment is performed.</x:v>
      </x:c>
      <x:c r="B23" s="3"/>
      <x:c r="C23" s="3"/>
      <x:c r="D23" s="3"/>
      <x:c r="E23" s="3"/>
      <x:c r="F23" s="3"/>
      <x:c r="G23" s="3"/>
      <x:c r="H23" s="3"/>
      <x:c r="I23" s="1"/>
      <x:c r="J23" s="1"/>
      <x:c r="K23" s="1"/>
      <x:c r="L23" s="1"/>
      <x:c r="M23" s="1"/>
      <x:c r="N23" s="1"/>
    </x:row>
    <x:row r="24" ht="44" customHeight="1">
      <x:c r="A24" s="3" t="str">
        <x:v>YouTube links were located through indexed video metadata/official events; several direct fetches were throttled. Playback and paid lessons were not accessed.</x:v>
      </x:c>
      <x:c r="B24" s="3"/>
      <x:c r="C24" s="3"/>
      <x:c r="D24" s="3"/>
      <x:c r="E24" s="3"/>
      <x:c r="F24" s="3"/>
      <x:c r="G24" s="3"/>
      <x:c r="H24" s="3"/>
      <x:c r="I24" s="1"/>
      <x:c r="J24" s="1"/>
      <x:c r="K24" s="1"/>
      <x:c r="L24" s="1"/>
      <x:c r="M24" s="1"/>
      <x:c r="N24" s="1"/>
    </x:row>
    <x:row r="25" ht="44" customHeight="1">
      <x:c r="A25" s="3" t="str">
        <x:v>Current Microsoft Learn, service documentation and repository versions govern implementation. Older video screenshots, SDKs and licensing claims need revalidation.</x:v>
      </x:c>
      <x:c r="B25" s="3"/>
      <x:c r="C25" s="3"/>
      <x:c r="D25" s="3"/>
      <x:c r="E25" s="3"/>
      <x:c r="F25" s="3"/>
      <x:c r="G25" s="3"/>
      <x:c r="H25" s="3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</x:sheetData>
  <x:mergeCells>
    <x:mergeCell ref="A22:H22"/>
    <x:mergeCell ref="A23:H23"/>
    <x:mergeCell ref="A24:H24"/>
    <x:mergeCell ref="A25:H25"/>
  </x:mergeCells>
  <x:dataValidations count="1">
    <x:dataValidation type="list" sqref="M6:M19">
      <x:formula1>"Not started,In progress,Blocked,Completed,Skipped"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14e88263e8045d7"/>
  </x:tableParts>
</x:worksheet>
</file>